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-LG\Desktop\Proyectos\BBVA\Operaciones\Macros\Volumen Venta Visa\Volumen de Ventas MasterCard\"/>
    </mc:Choice>
  </mc:AlternateContent>
  <xr:revisionPtr revIDLastSave="0" documentId="13_ncr:1_{1A42ABB8-406C-4CB8-B782-E61A6E43A47F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Índice" sheetId="2" r:id="rId1"/>
    <sheet name="Vol Tarjetas" sheetId="3" r:id="rId2"/>
    <sheet name="Datos" sheetId="4" r:id="rId3"/>
    <sheet name="Adquirencia" sheetId="71" r:id="rId4"/>
    <sheet name="Datos AC" sheetId="61" state="hidden" r:id="rId5"/>
    <sheet name="MC_CLS" sheetId="56" r:id="rId6"/>
    <sheet name="MC_ORO" sheetId="57" r:id="rId7"/>
    <sheet name="MC_DEB" sheetId="58" r:id="rId8"/>
    <sheet name="MC_PLT" sheetId="59" r:id="rId9"/>
    <sheet name="MC_BLK" sheetId="60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Índice!$B$10:$P$10</definedName>
    <definedName name="_xlnm._FilterDatabase" localSheetId="1" hidden="1">'Vol Tarjetas'!$A$2:$F$137</definedName>
    <definedName name="base">'[1]BASE DE OFICINAS 4T'!$A$3:$H$333</definedName>
    <definedName name="BASEOFICINAS">'[2]BASE OFICINAS'!$A$1:$D$331</definedName>
    <definedName name="codigoof">'[1]BASE DE OFICINAS 4T'!$A$3:$A$333</definedName>
    <definedName name="gg">'[2]BASE OFICINAS'!$A$1:$D$331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0" i="59" l="1"/>
  <c r="L40" i="59" s="1"/>
  <c r="N37" i="59"/>
  <c r="N34" i="59"/>
  <c r="L34" i="59" s="1"/>
  <c r="N40" i="60"/>
  <c r="L40" i="60" s="1"/>
  <c r="N37" i="60"/>
  <c r="N34" i="60"/>
  <c r="L34" i="60" s="1"/>
  <c r="N45" i="58"/>
  <c r="N41" i="58"/>
  <c r="L44" i="58"/>
  <c r="N44" i="58"/>
  <c r="N37" i="58"/>
  <c r="L34" i="58"/>
  <c r="N34" i="58"/>
  <c r="N40" i="57"/>
  <c r="L40" i="57" s="1"/>
  <c r="N37" i="57"/>
  <c r="L34" i="57"/>
  <c r="N34" i="57"/>
  <c r="N40" i="56"/>
  <c r="L40" i="56" s="1"/>
  <c r="N37" i="56"/>
  <c r="N34" i="56"/>
  <c r="L34" i="56" s="1"/>
  <c r="M29" i="59"/>
  <c r="M29" i="60"/>
  <c r="M29" i="58"/>
  <c r="M40" i="58" s="1"/>
  <c r="M29" i="57"/>
  <c r="M29" i="56"/>
  <c r="N18" i="59"/>
  <c r="M18" i="59"/>
  <c r="N8" i="59"/>
  <c r="M8" i="59"/>
  <c r="N18" i="60"/>
  <c r="M18" i="60"/>
  <c r="N8" i="60"/>
  <c r="M8" i="60"/>
  <c r="N18" i="58"/>
  <c r="M18" i="58"/>
  <c r="N8" i="58"/>
  <c r="M8" i="58"/>
  <c r="N18" i="57"/>
  <c r="M18" i="57"/>
  <c r="N8" i="57"/>
  <c r="M8" i="57"/>
  <c r="N18" i="56"/>
  <c r="M18" i="56"/>
  <c r="N8" i="56"/>
  <c r="M8" i="56"/>
  <c r="K40" i="59" l="1"/>
  <c r="I40" i="59" s="1"/>
  <c r="K37" i="59"/>
  <c r="K34" i="59"/>
  <c r="K40" i="60"/>
  <c r="I40" i="60" s="1"/>
  <c r="K37" i="60"/>
  <c r="K34" i="60"/>
  <c r="K41" i="58"/>
  <c r="K44" i="58"/>
  <c r="K45" i="58" s="1"/>
  <c r="K37" i="58"/>
  <c r="K34" i="58"/>
  <c r="K40" i="57"/>
  <c r="I40" i="57" s="1"/>
  <c r="K37" i="57"/>
  <c r="K34" i="57"/>
  <c r="K40" i="56"/>
  <c r="I40" i="56" s="1"/>
  <c r="K37" i="56"/>
  <c r="I34" i="56"/>
  <c r="L29" i="56" s="1"/>
  <c r="K34" i="56"/>
  <c r="N29" i="56" s="1"/>
  <c r="J29" i="59"/>
  <c r="J29" i="60"/>
  <c r="J29" i="58"/>
  <c r="J40" i="58" s="1"/>
  <c r="J29" i="57"/>
  <c r="J29" i="56"/>
  <c r="K18" i="59"/>
  <c r="J18" i="59"/>
  <c r="K8" i="59"/>
  <c r="J8" i="59"/>
  <c r="K18" i="60"/>
  <c r="J18" i="60"/>
  <c r="K8" i="60"/>
  <c r="J8" i="60"/>
  <c r="K18" i="58"/>
  <c r="J18" i="58"/>
  <c r="K8" i="58"/>
  <c r="J8" i="58"/>
  <c r="K18" i="57"/>
  <c r="J18" i="57"/>
  <c r="K8" i="57"/>
  <c r="J8" i="57"/>
  <c r="K18" i="56"/>
  <c r="J18" i="56"/>
  <c r="K8" i="56"/>
  <c r="J8" i="56"/>
  <c r="I34" i="60" l="1"/>
  <c r="L29" i="60" s="1"/>
  <c r="N29" i="60"/>
  <c r="I34" i="57"/>
  <c r="L29" i="57" s="1"/>
  <c r="N29" i="57"/>
  <c r="I34" i="59"/>
  <c r="L29" i="59" s="1"/>
  <c r="N29" i="59"/>
  <c r="I34" i="58"/>
  <c r="L29" i="58" s="1"/>
  <c r="L40" i="58" s="1"/>
  <c r="N29" i="58"/>
  <c r="N40" i="58" s="1"/>
  <c r="I44" i="58"/>
  <c r="G2" i="4"/>
  <c r="F5" i="4"/>
  <c r="H57" i="60" l="1"/>
  <c r="G57" i="60"/>
  <c r="E57" i="60"/>
  <c r="D57" i="60"/>
  <c r="H56" i="60"/>
  <c r="G56" i="60"/>
  <c r="E56" i="60"/>
  <c r="E58" i="60" s="1"/>
  <c r="D56" i="60"/>
  <c r="D58" i="60" s="1"/>
  <c r="H54" i="60"/>
  <c r="G54" i="60"/>
  <c r="E54" i="60"/>
  <c r="D54" i="60"/>
  <c r="H50" i="60"/>
  <c r="G50" i="60"/>
  <c r="E50" i="60"/>
  <c r="D50" i="60"/>
  <c r="H40" i="60"/>
  <c r="G40" i="60"/>
  <c r="D40" i="60"/>
  <c r="H37" i="60"/>
  <c r="E37" i="60"/>
  <c r="H34" i="60"/>
  <c r="E34" i="60"/>
  <c r="E40" i="60" s="1"/>
  <c r="C40" i="60" s="1"/>
  <c r="H21" i="60"/>
  <c r="G21" i="60"/>
  <c r="E21" i="60"/>
  <c r="D21" i="60"/>
  <c r="H20" i="60"/>
  <c r="G20" i="60"/>
  <c r="E20" i="60"/>
  <c r="D20" i="60"/>
  <c r="H17" i="60"/>
  <c r="G17" i="60"/>
  <c r="E17" i="60"/>
  <c r="D17" i="60"/>
  <c r="H16" i="60"/>
  <c r="G16" i="60"/>
  <c r="E16" i="60"/>
  <c r="D16" i="60"/>
  <c r="D18" i="60" s="1"/>
  <c r="H14" i="60"/>
  <c r="G14" i="60"/>
  <c r="E14" i="60"/>
  <c r="D14" i="60"/>
  <c r="H8" i="60"/>
  <c r="G8" i="60"/>
  <c r="E8" i="60"/>
  <c r="D8" i="60"/>
  <c r="H57" i="59"/>
  <c r="G57" i="59"/>
  <c r="E57" i="59"/>
  <c r="D57" i="59"/>
  <c r="H56" i="59"/>
  <c r="G56" i="59"/>
  <c r="E56" i="59"/>
  <c r="D56" i="59"/>
  <c r="H54" i="59"/>
  <c r="G54" i="59"/>
  <c r="E54" i="59"/>
  <c r="D54" i="59"/>
  <c r="H50" i="59"/>
  <c r="G50" i="59"/>
  <c r="E50" i="59"/>
  <c r="D50" i="59"/>
  <c r="H40" i="59"/>
  <c r="F40" i="59" s="1"/>
  <c r="D40" i="59"/>
  <c r="H37" i="59"/>
  <c r="E37" i="59"/>
  <c r="H34" i="59"/>
  <c r="E34" i="59"/>
  <c r="E40" i="59" s="1"/>
  <c r="H21" i="59"/>
  <c r="G21" i="59"/>
  <c r="E21" i="59"/>
  <c r="D21" i="59"/>
  <c r="H20" i="59"/>
  <c r="G20" i="59"/>
  <c r="E20" i="59"/>
  <c r="D20" i="59"/>
  <c r="H17" i="59"/>
  <c r="G17" i="59"/>
  <c r="E17" i="59"/>
  <c r="D17" i="59"/>
  <c r="H16" i="59"/>
  <c r="G16" i="59"/>
  <c r="E16" i="59"/>
  <c r="D16" i="59"/>
  <c r="H14" i="59"/>
  <c r="G14" i="59"/>
  <c r="E14" i="59"/>
  <c r="D14" i="59"/>
  <c r="H8" i="59"/>
  <c r="G8" i="59"/>
  <c r="E8" i="59"/>
  <c r="D8" i="59"/>
  <c r="H57" i="58"/>
  <c r="G57" i="58"/>
  <c r="E57" i="58"/>
  <c r="D57" i="58"/>
  <c r="H56" i="58"/>
  <c r="G56" i="58"/>
  <c r="E56" i="58"/>
  <c r="D56" i="58"/>
  <c r="H54" i="58"/>
  <c r="G54" i="58"/>
  <c r="E54" i="58"/>
  <c r="D54" i="58"/>
  <c r="H50" i="58"/>
  <c r="G50" i="58"/>
  <c r="E50" i="58"/>
  <c r="D50" i="58"/>
  <c r="H44" i="58"/>
  <c r="F44" i="58" s="1"/>
  <c r="D44" i="58"/>
  <c r="H41" i="58"/>
  <c r="E41" i="58"/>
  <c r="G40" i="58"/>
  <c r="F40" i="58"/>
  <c r="D40" i="58"/>
  <c r="C40" i="58"/>
  <c r="H37" i="58"/>
  <c r="E37" i="58"/>
  <c r="H34" i="58"/>
  <c r="E34" i="58"/>
  <c r="C34" i="58" s="1"/>
  <c r="C44" i="58" s="1"/>
  <c r="H21" i="58"/>
  <c r="G21" i="58"/>
  <c r="E21" i="58"/>
  <c r="D21" i="58"/>
  <c r="H20" i="58"/>
  <c r="G20" i="58"/>
  <c r="E20" i="58"/>
  <c r="D20" i="58"/>
  <c r="H17" i="58"/>
  <c r="G17" i="58"/>
  <c r="E17" i="58"/>
  <c r="D17" i="58"/>
  <c r="H16" i="58"/>
  <c r="G16" i="58"/>
  <c r="E16" i="58"/>
  <c r="D16" i="58"/>
  <c r="H14" i="58"/>
  <c r="G14" i="58"/>
  <c r="E14" i="58"/>
  <c r="D14" i="58"/>
  <c r="H8" i="58"/>
  <c r="G8" i="58"/>
  <c r="E8" i="58"/>
  <c r="D8" i="58"/>
  <c r="H57" i="57"/>
  <c r="G57" i="57"/>
  <c r="E57" i="57"/>
  <c r="D57" i="57"/>
  <c r="H56" i="57"/>
  <c r="G56" i="57"/>
  <c r="E56" i="57"/>
  <c r="D56" i="57"/>
  <c r="H54" i="57"/>
  <c r="G54" i="57"/>
  <c r="E54" i="57"/>
  <c r="D54" i="57"/>
  <c r="H50" i="57"/>
  <c r="G50" i="57"/>
  <c r="E50" i="57"/>
  <c r="D50" i="57"/>
  <c r="H40" i="57"/>
  <c r="F40" i="57" s="1"/>
  <c r="E40" i="57"/>
  <c r="D40" i="57"/>
  <c r="H37" i="57"/>
  <c r="E37" i="57"/>
  <c r="H34" i="57"/>
  <c r="E34" i="57"/>
  <c r="C34" i="57" s="1"/>
  <c r="H21" i="57"/>
  <c r="G21" i="57"/>
  <c r="E21" i="57"/>
  <c r="D21" i="57"/>
  <c r="H20" i="57"/>
  <c r="G20" i="57"/>
  <c r="E20" i="57"/>
  <c r="D20" i="57"/>
  <c r="H17" i="57"/>
  <c r="G17" i="57"/>
  <c r="E17" i="57"/>
  <c r="D17" i="57"/>
  <c r="H16" i="57"/>
  <c r="G16" i="57"/>
  <c r="E16" i="57"/>
  <c r="D16" i="57"/>
  <c r="H14" i="57"/>
  <c r="G14" i="57"/>
  <c r="E14" i="57"/>
  <c r="D14" i="57"/>
  <c r="H8" i="57"/>
  <c r="G8" i="57"/>
  <c r="E8" i="57"/>
  <c r="D8" i="57"/>
  <c r="H57" i="56"/>
  <c r="G57" i="56"/>
  <c r="E57" i="56"/>
  <c r="D57" i="56"/>
  <c r="H56" i="56"/>
  <c r="G56" i="56"/>
  <c r="E56" i="56"/>
  <c r="D56" i="56"/>
  <c r="H54" i="56"/>
  <c r="G54" i="56"/>
  <c r="E54" i="56"/>
  <c r="D54" i="56"/>
  <c r="H50" i="56"/>
  <c r="G50" i="56"/>
  <c r="E50" i="56"/>
  <c r="D50" i="56"/>
  <c r="H40" i="56"/>
  <c r="F40" i="56" s="1"/>
  <c r="D40" i="56"/>
  <c r="G29" i="56" s="1"/>
  <c r="H37" i="56"/>
  <c r="E37" i="56"/>
  <c r="H34" i="56"/>
  <c r="K29" i="56" s="1"/>
  <c r="E34" i="56"/>
  <c r="C34" i="56" s="1"/>
  <c r="H21" i="56"/>
  <c r="G21" i="56"/>
  <c r="E21" i="56"/>
  <c r="D21" i="56"/>
  <c r="H20" i="56"/>
  <c r="G20" i="56"/>
  <c r="E20" i="56"/>
  <c r="D20" i="56"/>
  <c r="H17" i="56"/>
  <c r="G17" i="56"/>
  <c r="E17" i="56"/>
  <c r="D17" i="56"/>
  <c r="H16" i="56"/>
  <c r="G16" i="56"/>
  <c r="E16" i="56"/>
  <c r="D16" i="56"/>
  <c r="H14" i="56"/>
  <c r="G14" i="56"/>
  <c r="E14" i="56"/>
  <c r="D14" i="56"/>
  <c r="H8" i="56"/>
  <c r="G8" i="56"/>
  <c r="E8" i="56"/>
  <c r="D8" i="56"/>
  <c r="F34" i="60" l="1"/>
  <c r="I29" i="60" s="1"/>
  <c r="K29" i="60"/>
  <c r="F34" i="59"/>
  <c r="I29" i="59" s="1"/>
  <c r="K29" i="59"/>
  <c r="D58" i="59"/>
  <c r="F34" i="58"/>
  <c r="I29" i="58" s="1"/>
  <c r="I40" i="58" s="1"/>
  <c r="K29" i="58"/>
  <c r="K40" i="58" s="1"/>
  <c r="F34" i="57"/>
  <c r="I29" i="57" s="1"/>
  <c r="K29" i="57"/>
  <c r="E18" i="60"/>
  <c r="G58" i="60"/>
  <c r="G18" i="60"/>
  <c r="G18" i="59"/>
  <c r="C34" i="59"/>
  <c r="C40" i="59" s="1"/>
  <c r="D58" i="58"/>
  <c r="E58" i="58"/>
  <c r="D18" i="56"/>
  <c r="H58" i="59"/>
  <c r="D58" i="57"/>
  <c r="G18" i="56"/>
  <c r="H18" i="60"/>
  <c r="H58" i="60"/>
  <c r="G58" i="59"/>
  <c r="H40" i="58"/>
  <c r="C40" i="57"/>
  <c r="H18" i="56"/>
  <c r="D58" i="56"/>
  <c r="F40" i="60"/>
  <c r="E58" i="59"/>
  <c r="G58" i="57"/>
  <c r="E58" i="57"/>
  <c r="G58" i="56"/>
  <c r="H58" i="56"/>
  <c r="H18" i="59"/>
  <c r="D18" i="59"/>
  <c r="E18" i="59"/>
  <c r="H45" i="58"/>
  <c r="G58" i="58"/>
  <c r="G18" i="58"/>
  <c r="H58" i="58"/>
  <c r="E18" i="58"/>
  <c r="H18" i="58"/>
  <c r="E40" i="58"/>
  <c r="E44" i="58"/>
  <c r="E45" i="58" s="1"/>
  <c r="D18" i="58"/>
  <c r="D18" i="57"/>
  <c r="H58" i="57"/>
  <c r="G18" i="57"/>
  <c r="E18" i="57"/>
  <c r="H18" i="57"/>
  <c r="E18" i="56"/>
  <c r="E40" i="56"/>
  <c r="E58" i="56"/>
  <c r="F34" i="56"/>
  <c r="I29" i="56" s="1"/>
  <c r="C34" i="60"/>
  <c r="C40" i="56" l="1"/>
  <c r="F29" i="56" s="1"/>
  <c r="H29" i="56"/>
  <c r="G3" i="4"/>
  <c r="G4" i="4"/>
  <c r="G5" i="4" l="1"/>
</calcChain>
</file>

<file path=xl/sharedStrings.xml><?xml version="1.0" encoding="utf-8"?>
<sst xmlns="http://schemas.openxmlformats.org/spreadsheetml/2006/main" count="1320" uniqueCount="177">
  <si>
    <t>Bines</t>
  </si>
  <si>
    <t>Mc BeFree</t>
  </si>
  <si>
    <t>Mc Selección</t>
  </si>
  <si>
    <t>Mes</t>
  </si>
  <si>
    <t>Año</t>
  </si>
  <si>
    <t>Tipo Tarjeta</t>
  </si>
  <si>
    <t>MASTER ORO</t>
  </si>
  <si>
    <t>Mc Oro</t>
  </si>
  <si>
    <t>MASTER PLATA / CLÁSICA</t>
  </si>
  <si>
    <t>MASTER PLATIN</t>
  </si>
  <si>
    <t>MASTER BLACK</t>
  </si>
  <si>
    <t>C</t>
  </si>
  <si>
    <t>D</t>
  </si>
  <si>
    <t>MC DEBITO SELECCIÓN</t>
  </si>
  <si>
    <t>MASTER PLATA / CLASICA</t>
  </si>
  <si>
    <t>MC DEBITO EQUIPO</t>
  </si>
  <si>
    <t>MC DEBITO ESCUDO LA BLANQUIRROJA</t>
  </si>
  <si>
    <t>Volumen</t>
  </si>
  <si>
    <t>C / D</t>
  </si>
  <si>
    <t>Vol x Tipo Tarjeta</t>
  </si>
  <si>
    <t>Vol x C/ D</t>
  </si>
  <si>
    <t>Vol x Mes</t>
  </si>
  <si>
    <t>Hojas Bines</t>
  </si>
  <si>
    <t>MC_CLS</t>
  </si>
  <si>
    <t>MC_ORO</t>
  </si>
  <si>
    <t>MC_DEB</t>
  </si>
  <si>
    <t>MC_BLK</t>
  </si>
  <si>
    <t>MC_PLT</t>
  </si>
  <si>
    <t>MC DEBITO</t>
  </si>
  <si>
    <t>I. Cardholder Activity</t>
  </si>
  <si>
    <t>Open</t>
  </si>
  <si>
    <t>Total</t>
  </si>
  <si>
    <t>II. Oustandings</t>
  </si>
  <si>
    <t>Volumen Trimestral</t>
  </si>
  <si>
    <t>1.Total Outstanding at end of quarter</t>
  </si>
  <si>
    <t>Reporte en página MC</t>
  </si>
  <si>
    <t>Reporte en 3270</t>
  </si>
  <si>
    <t>Transactions</t>
  </si>
  <si>
    <t>Volume</t>
  </si>
  <si>
    <t>2019 Q2</t>
  </si>
  <si>
    <t>2019 Q3</t>
  </si>
  <si>
    <t>2019 Q4</t>
  </si>
  <si>
    <t xml:space="preserve">     A. Purchases</t>
  </si>
  <si>
    <t xml:space="preserve">     B. Disbursements</t>
  </si>
  <si>
    <t xml:space="preserve">          Breakdown of Cash Disbursements</t>
  </si>
  <si>
    <t xml:space="preserve">          1. Domestic On-Us</t>
  </si>
  <si>
    <t xml:space="preserve">          3. Domestic Interchange</t>
  </si>
  <si>
    <t xml:space="preserve">          4. International </t>
  </si>
  <si>
    <t xml:space="preserve">          5. Total (A1 + A2 + A3 + A4)</t>
  </si>
  <si>
    <t xml:space="preserve">          5. Total (B1 + B2 + B3 + B4)</t>
  </si>
  <si>
    <t xml:space="preserve">          a. ATM Cash Disbursements</t>
  </si>
  <si>
    <t xml:space="preserve">          b. Teller Cash Disbursements</t>
  </si>
  <si>
    <t>MPLS0A13 (67 páginas)
3. Disp Efec Propio + 
5. Disp Efec Caja ATM Propio</t>
  </si>
  <si>
    <t>MPLS0A13 (67 páginas)
11. Disp Efec Caja ATM Entrante Nac</t>
  </si>
  <si>
    <t>Reportes</t>
  </si>
  <si>
    <t>MPLS0A13 (67 páginas)
17. Disp Efec Caja ATM Entrante Inter</t>
  </si>
  <si>
    <t>MPLS0A13 (67 páginas)
5. Disp Efec Caja ATM Propio +
11. Disp Efec Caja ATM Entrante Nac +
17. Disp Efec Caja ATM Entrante Inter</t>
  </si>
  <si>
    <t>MPLS0A13 (67 páginas)
3. Disp Efec Propio</t>
  </si>
  <si>
    <t xml:space="preserve">     C. Refunds / Returns / Credits</t>
  </si>
  <si>
    <t xml:space="preserve">     D. Accounts / Cards</t>
  </si>
  <si>
    <t xml:space="preserve">          5. Total (C1 + C2 + C3 + C4)</t>
  </si>
  <si>
    <t xml:space="preserve">          1. Accounts at beginning of quarter</t>
  </si>
  <si>
    <t xml:space="preserve">          2. New accounts obtained during quarter</t>
  </si>
  <si>
    <t xml:space="preserve">          3. Accounts terminated during quarter</t>
  </si>
  <si>
    <t xml:space="preserve">          4. Accounts at end of quarter</t>
  </si>
  <si>
    <t xml:space="preserve">          6. Cards at beginning at quarter</t>
  </si>
  <si>
    <t xml:space="preserve">          7. New cards</t>
  </si>
  <si>
    <t xml:space="preserve">          8. Cards at end of quarter</t>
  </si>
  <si>
    <t>MPLS0013 Último Mes (1000 páginas)
PRDC - Total Cuentas Soles</t>
  </si>
  <si>
    <t>MPLS0013 Último Mes (1000 páginas)
PRDC - Total Cuentas Dólares</t>
  </si>
  <si>
    <t>MPLS0013 Último Mes (1000 páginas)
PRDC - Nro de Tarjetas Soles</t>
  </si>
  <si>
    <t>MPLS0013 Último Mes (1000 páginas)
PRDC - Nro de Tarjetas Dólares</t>
  </si>
  <si>
    <t>Temp Blocked</t>
  </si>
  <si>
    <t>Para Temp Blocked
MPLS0013 Trimestral (1000 páginas)
ESTD - Contratos Cancelado</t>
  </si>
  <si>
    <t>III. Card Feature Details</t>
  </si>
  <si>
    <t xml:space="preserve">          1. Breakout of EMV-compilant Chip-enabled Cards</t>
  </si>
  <si>
    <t xml:space="preserve">     A. Fraud Losses</t>
  </si>
  <si>
    <t xml:space="preserve">          2. Domestic Other brand /
          Non Mastercard Processed</t>
  </si>
  <si>
    <t xml:space="preserve">          5. Accounts with at least one
          transaction during quarter</t>
  </si>
  <si>
    <t xml:space="preserve">          9. Cards with at least one 
          transaction during quarter</t>
  </si>
  <si>
    <t xml:space="preserve">          2. Total Contactless Cards Issued 
          (physical plastic card only)</t>
  </si>
  <si>
    <t xml:space="preserve">          3. Total number of cards enrolled in 
          the Mastercard Biometric card program</t>
  </si>
  <si>
    <t xml:space="preserve">          4. Total number of 
          Mastercard Digital Accounts </t>
  </si>
  <si>
    <t xml:space="preserve">     B. Other Losses</t>
  </si>
  <si>
    <t xml:space="preserve">     C. Total Charged of Losses</t>
  </si>
  <si>
    <t xml:space="preserve">          1. Gross Fraud Losses</t>
  </si>
  <si>
    <t xml:space="preserve">          1. Gross Other Losses</t>
  </si>
  <si>
    <t xml:space="preserve">          2. Recovery of Fraud Losses</t>
  </si>
  <si>
    <t xml:space="preserve">          3. Net Fraud Losses (A1 - A2)</t>
  </si>
  <si>
    <t>II. Charged-Off Losses (including counterfelt losses)</t>
  </si>
  <si>
    <t xml:space="preserve">          1. Total Gross Charged-Off Losses (A1 + B1)</t>
  </si>
  <si>
    <t xml:space="preserve">          2. Total Recovery of Charged-Off Losses (A2 + B2)</t>
  </si>
  <si>
    <t xml:space="preserve">          3. Total Net Charged-Off Losses (C1 - C2)</t>
  </si>
  <si>
    <t>Nuevas Tarjetas - Información detallada</t>
  </si>
  <si>
    <t>Nuevas Tarjetas - Información mensual resumen</t>
  </si>
  <si>
    <t>Datos</t>
  </si>
  <si>
    <t>MPLS0013 Trimestral (1000 páginas)
PRDC - Cuentas Act.Ptos Vta Soles</t>
  </si>
  <si>
    <t>MPLS0013 Trimestral (1000 páginas)
PRDC - Cuentas Act.Ptos Vta Dólares</t>
  </si>
  <si>
    <t>Vol Tarjetas - Nuevas Tarjetas</t>
  </si>
  <si>
    <t>Para Temp Blocked
MPLS0013 Trimestral (1000 páginas)
ESTD - Canc.Tj x Robo/Extra</t>
  </si>
  <si>
    <t>Cargar reporte MPLS0A13 (67 páginas)</t>
  </si>
  <si>
    <t>Cargar reporte MPLS0013 (1000 páginas) último Mes</t>
  </si>
  <si>
    <t>Cargar reporte MPLS0013 (1000 páginas) Trimestral</t>
  </si>
  <si>
    <t>1. Solicitar el reporte de Ingresos de Tarjetas a Estafeta y llenar la hoja "Vol Tarjetas" con la informaci+on de Nuevas Tarjetas</t>
  </si>
  <si>
    <t xml:space="preserve">2. Ejcutar el botón "Cargar reportes" </t>
  </si>
  <si>
    <t>Uso de las Marcas</t>
  </si>
  <si>
    <t>1er mes</t>
  </si>
  <si>
    <t>2do mes</t>
  </si>
  <si>
    <t>3er mes</t>
  </si>
  <si>
    <t>Visa</t>
  </si>
  <si>
    <t>MC</t>
  </si>
  <si>
    <t>Compare Data to Last Quarter</t>
  </si>
  <si>
    <t>Year</t>
  </si>
  <si>
    <t>Quarter</t>
  </si>
  <si>
    <t>MasterCard</t>
  </si>
  <si>
    <t>Brand</t>
  </si>
  <si>
    <t>ICA</t>
  </si>
  <si>
    <t>Currency</t>
  </si>
  <si>
    <t>PEN-PERU NUEVO SOL</t>
  </si>
  <si>
    <t>Program</t>
  </si>
  <si>
    <t>MasterCard Acquiring Credit</t>
  </si>
  <si>
    <t>B. Cash Disbursements</t>
  </si>
  <si>
    <t>Soles</t>
  </si>
  <si>
    <t>Dólares</t>
  </si>
  <si>
    <t>Otros Bancos Locales</t>
  </si>
  <si>
    <t>Bancos del Exterior</t>
  </si>
  <si>
    <t>Cantidad</t>
  </si>
  <si>
    <t>Dólares a Soles</t>
  </si>
  <si>
    <t>Adquirencia Cirrus Total</t>
  </si>
  <si>
    <t>Total (Otros Bancos Locales + Bancos del Exterior)</t>
  </si>
  <si>
    <t>Promedio</t>
  </si>
  <si>
    <t>Adquirencia Cirrus Debito</t>
  </si>
  <si>
    <t>Adquirencia Cirrus Credito</t>
  </si>
  <si>
    <t>MPLS0A13 (67 páginas)
7. Comp Entrante - Nac</t>
  </si>
  <si>
    <t>MPLS0A13 (67 páginas)
5. Disp Efec Caja ATM Propio</t>
  </si>
  <si>
    <t>MPLS0A13 (67 páginas)
13. Comp Entrante - Inter</t>
  </si>
  <si>
    <t>Cirrus Acquiring</t>
  </si>
  <si>
    <t>Cash Disbursement</t>
  </si>
  <si>
    <t>1. Domestic On-Us</t>
  </si>
  <si>
    <t>CLASICA</t>
  </si>
  <si>
    <t>ORO</t>
  </si>
  <si>
    <t>BLACK</t>
  </si>
  <si>
    <t>PLATINUM</t>
  </si>
  <si>
    <t>Importe</t>
  </si>
  <si>
    <t>Crédito</t>
  </si>
  <si>
    <t>Débito</t>
  </si>
  <si>
    <r>
      <rPr>
        <sz val="11"/>
        <color theme="1"/>
        <rFont val="Calibri"/>
        <family val="2"/>
        <scheme val="minor"/>
      </rPr>
      <t>MPLS0A13 (67 páginas)
3. Disp Efec Propio</t>
    </r>
  </si>
  <si>
    <t>4. Domestic Interchange Acquiring</t>
  </si>
  <si>
    <t>3.Domestic Interchange</t>
  </si>
  <si>
    <t>4. International Acquiring</t>
  </si>
  <si>
    <t>4. International</t>
  </si>
  <si>
    <t>A. Purchases</t>
  </si>
  <si>
    <t>1.Domestic On-us Acquiring</t>
  </si>
  <si>
    <t>2. Domestic In.Store (CBPC only)</t>
  </si>
  <si>
    <t>3. Domestic Other Brand / Non-Master Processed</t>
  </si>
  <si>
    <t>5. Internacional Acquiring</t>
  </si>
  <si>
    <t>6. Total</t>
  </si>
  <si>
    <t>C. Refunds / Returns / Credits</t>
  </si>
  <si>
    <t>MasterCard Acquiring Debit</t>
  </si>
  <si>
    <t>Cirrus</t>
  </si>
  <si>
    <t>I. Cirrus Acquiring Cash Disbursements Activity</t>
  </si>
  <si>
    <t>III. Detail Acquiring Activity Breakout</t>
  </si>
  <si>
    <t>2. Domestic Other Brand / Non-MasterCard Processed</t>
  </si>
  <si>
    <t>3. Domestic Interchange</t>
  </si>
  <si>
    <t>2. Domestic Activity on Cards Bearing Competing Acceptance Logos</t>
  </si>
  <si>
    <t>3. Domestic Activity on Cards Bearing Cirrus Logo Only</t>
  </si>
  <si>
    <t>8689_0</t>
  </si>
  <si>
    <t>88838_0</t>
  </si>
  <si>
    <t>5. Total</t>
  </si>
  <si>
    <t>II. Cirrus Acceptance</t>
  </si>
  <si>
    <t>1. Number of ATMs accepting Cirrus</t>
  </si>
  <si>
    <t>1a. Number of ,MasterCard-approved EMV</t>
  </si>
  <si>
    <t>1. Total Domestic Activity</t>
  </si>
  <si>
    <t>Información adicional</t>
  </si>
  <si>
    <t>Número</t>
  </si>
  <si>
    <t>Cant de ATMs</t>
  </si>
  <si>
    <t>2020 Q1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</si>
</sst>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0.0000%"/>
    <numFmt numFmtId="166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" fillId="0" borderId="0" applyFont="0" applyFill="0" applyBorder="0" applyAlignment="0" applyProtection="0"/>
  </cellStyleXfs>
  <cellXfs count="165">
    <xf numFmtId="0" fontId="0" fillId="0" borderId="0" xfId="0"/>
    <xf numFmtId="0" fontId="3" fillId="2" borderId="0" xfId="0" applyFont="1" applyFill="1" applyAlignment="1" applyProtection="1">
      <alignment wrapText="1"/>
    </xf>
    <xf numFmtId="14" fontId="4" fillId="2" borderId="0" xfId="0" applyNumberFormat="1" applyFont="1" applyFill="1" applyAlignment="1" applyProtection="1">
      <alignment horizontal="center"/>
    </xf>
    <xf numFmtId="49" fontId="4" fillId="2" borderId="0" xfId="0" applyNumberFormat="1" applyFont="1" applyFill="1" applyAlignment="1" applyProtection="1">
      <alignment horizontal="center"/>
    </xf>
    <xf numFmtId="0" fontId="4" fillId="2" borderId="0" xfId="0" applyFont="1" applyFill="1" applyAlignment="1" applyProtection="1">
      <alignment horizontal="center"/>
    </xf>
    <xf numFmtId="49" fontId="4" fillId="2" borderId="0" xfId="0" applyNumberFormat="1" applyFont="1" applyFill="1" applyAlignment="1" applyProtection="1">
      <alignment horizontal="left"/>
    </xf>
    <xf numFmtId="164" fontId="4" fillId="2" borderId="0" xfId="1" applyFont="1" applyFill="1" applyAlignment="1" applyProtection="1">
      <alignment horizontal="center"/>
    </xf>
    <xf numFmtId="49" fontId="4" fillId="2" borderId="0" xfId="0" applyNumberFormat="1" applyFont="1" applyFill="1" applyProtection="1"/>
    <xf numFmtId="49" fontId="4" fillId="2" borderId="0" xfId="0" applyNumberFormat="1" applyFont="1" applyFill="1" applyAlignment="1" applyProtection="1">
      <alignment horizontal="center" vertical="center"/>
    </xf>
    <xf numFmtId="14" fontId="4" fillId="2" borderId="0" xfId="0" applyNumberFormat="1" applyFont="1" applyFill="1" applyProtection="1"/>
    <xf numFmtId="0" fontId="4" fillId="2" borderId="0" xfId="0" applyNumberFormat="1" applyFont="1" applyFill="1" applyProtection="1"/>
    <xf numFmtId="0" fontId="4" fillId="2" borderId="0" xfId="0" applyFont="1" applyFill="1" applyProtection="1"/>
    <xf numFmtId="0" fontId="4" fillId="0" borderId="0" xfId="0" applyFont="1"/>
    <xf numFmtId="49" fontId="4" fillId="3" borderId="0" xfId="0" applyNumberFormat="1" applyFont="1" applyFill="1" applyAlignment="1" applyProtection="1">
      <alignment horizontal="center"/>
    </xf>
    <xf numFmtId="14" fontId="4" fillId="3" borderId="0" xfId="0" applyNumberFormat="1" applyFont="1" applyFill="1" applyAlignment="1" applyProtection="1">
      <alignment horizontal="center"/>
    </xf>
    <xf numFmtId="164" fontId="4" fillId="3" borderId="0" xfId="1" applyFont="1" applyFill="1" applyAlignment="1" applyProtection="1">
      <alignment horizontal="center"/>
    </xf>
    <xf numFmtId="0" fontId="4" fillId="3" borderId="0" xfId="0" applyFont="1" applyFill="1" applyProtection="1"/>
    <xf numFmtId="0" fontId="4" fillId="4" borderId="0" xfId="0" applyFont="1" applyFill="1" applyProtection="1"/>
    <xf numFmtId="14" fontId="4" fillId="4" borderId="0" xfId="0" applyNumberFormat="1" applyFont="1" applyFill="1" applyAlignment="1" applyProtection="1">
      <alignment horizontal="center"/>
    </xf>
    <xf numFmtId="49" fontId="4" fillId="4" borderId="0" xfId="0" applyNumberFormat="1" applyFont="1" applyFill="1" applyAlignment="1" applyProtection="1">
      <alignment horizontal="center"/>
    </xf>
    <xf numFmtId="0" fontId="4" fillId="4" borderId="0" xfId="0" applyFont="1" applyFill="1" applyAlignment="1" applyProtection="1">
      <alignment horizontal="center"/>
    </xf>
    <xf numFmtId="49" fontId="4" fillId="4" borderId="0" xfId="0" applyNumberFormat="1" applyFont="1" applyFill="1" applyAlignment="1" applyProtection="1">
      <alignment horizontal="left"/>
    </xf>
    <xf numFmtId="164" fontId="4" fillId="4" borderId="0" xfId="1" applyFont="1" applyFill="1" applyAlignment="1" applyProtection="1">
      <alignment horizontal="center"/>
    </xf>
    <xf numFmtId="49" fontId="4" fillId="4" borderId="0" xfId="0" applyNumberFormat="1" applyFont="1" applyFill="1" applyProtection="1"/>
    <xf numFmtId="49" fontId="4" fillId="4" borderId="0" xfId="0" applyNumberFormat="1" applyFont="1" applyFill="1" applyAlignment="1" applyProtection="1">
      <alignment horizontal="center" vertical="center"/>
    </xf>
    <xf numFmtId="14" fontId="4" fillId="4" borderId="0" xfId="0" applyNumberFormat="1" applyFont="1" applyFill="1" applyProtection="1"/>
    <xf numFmtId="0" fontId="4" fillId="4" borderId="0" xfId="0" applyNumberFormat="1" applyFont="1" applyFill="1" applyProtection="1"/>
    <xf numFmtId="0" fontId="4" fillId="5" borderId="0" xfId="0" applyFont="1" applyFill="1" applyProtection="1"/>
    <xf numFmtId="14" fontId="4" fillId="5" borderId="0" xfId="0" applyNumberFormat="1" applyFont="1" applyFill="1" applyAlignment="1" applyProtection="1">
      <alignment horizontal="center"/>
    </xf>
    <xf numFmtId="49" fontId="4" fillId="5" borderId="0" xfId="0" applyNumberFormat="1" applyFont="1" applyFill="1" applyAlignment="1" applyProtection="1">
      <alignment horizontal="center"/>
    </xf>
    <xf numFmtId="0" fontId="4" fillId="5" borderId="0" xfId="0" applyFont="1" applyFill="1" applyAlignment="1" applyProtection="1">
      <alignment horizontal="center"/>
    </xf>
    <xf numFmtId="49" fontId="4" fillId="5" borderId="0" xfId="0" applyNumberFormat="1" applyFont="1" applyFill="1" applyAlignment="1" applyProtection="1">
      <alignment horizontal="left"/>
    </xf>
    <xf numFmtId="164" fontId="4" fillId="5" borderId="0" xfId="1" applyFont="1" applyFill="1" applyAlignment="1" applyProtection="1">
      <alignment horizontal="center"/>
    </xf>
    <xf numFmtId="49" fontId="4" fillId="5" borderId="0" xfId="0" applyNumberFormat="1" applyFont="1" applyFill="1" applyProtection="1"/>
    <xf numFmtId="49" fontId="4" fillId="5" borderId="0" xfId="0" applyNumberFormat="1" applyFont="1" applyFill="1" applyAlignment="1" applyProtection="1">
      <alignment horizontal="center" vertical="center"/>
    </xf>
    <xf numFmtId="14" fontId="4" fillId="5" borderId="0" xfId="0" applyNumberFormat="1" applyFont="1" applyFill="1" applyProtection="1"/>
    <xf numFmtId="0" fontId="4" fillId="5" borderId="0" xfId="0" applyNumberFormat="1" applyFont="1" applyFill="1" applyProtection="1"/>
    <xf numFmtId="0" fontId="4" fillId="6" borderId="0" xfId="0" applyFont="1" applyFill="1" applyProtection="1"/>
    <xf numFmtId="14" fontId="4" fillId="6" borderId="0" xfId="0" applyNumberFormat="1" applyFont="1" applyFill="1" applyAlignment="1" applyProtection="1">
      <alignment horizontal="center"/>
    </xf>
    <xf numFmtId="49" fontId="4" fillId="6" borderId="0" xfId="0" applyNumberFormat="1" applyFont="1" applyFill="1" applyAlignment="1" applyProtection="1">
      <alignment horizontal="center"/>
    </xf>
    <xf numFmtId="0" fontId="4" fillId="6" borderId="0" xfId="0" applyFont="1" applyFill="1" applyAlignment="1" applyProtection="1">
      <alignment horizontal="center"/>
    </xf>
    <xf numFmtId="49" fontId="4" fillId="6" borderId="0" xfId="0" applyNumberFormat="1" applyFont="1" applyFill="1" applyAlignment="1" applyProtection="1">
      <alignment horizontal="left"/>
    </xf>
    <xf numFmtId="164" fontId="4" fillId="6" borderId="0" xfId="1" applyFont="1" applyFill="1" applyAlignment="1" applyProtection="1">
      <alignment horizontal="center"/>
    </xf>
    <xf numFmtId="49" fontId="4" fillId="6" borderId="0" xfId="0" applyNumberFormat="1" applyFont="1" applyFill="1" applyProtection="1"/>
    <xf numFmtId="49" fontId="4" fillId="6" borderId="0" xfId="0" applyNumberFormat="1" applyFont="1" applyFill="1" applyAlignment="1" applyProtection="1">
      <alignment horizontal="center" vertical="center"/>
    </xf>
    <xf numFmtId="14" fontId="4" fillId="6" borderId="0" xfId="0" applyNumberFormat="1" applyFont="1" applyFill="1" applyProtection="1"/>
    <xf numFmtId="0" fontId="4" fillId="6" borderId="0" xfId="0" applyNumberFormat="1" applyFont="1" applyFill="1" applyProtection="1"/>
    <xf numFmtId="0" fontId="4" fillId="7" borderId="0" xfId="0" applyFont="1" applyFill="1" applyProtection="1"/>
    <xf numFmtId="14" fontId="4" fillId="7" borderId="0" xfId="0" applyNumberFormat="1" applyFont="1" applyFill="1" applyAlignment="1" applyProtection="1">
      <alignment horizontal="center"/>
    </xf>
    <xf numFmtId="49" fontId="4" fillId="7" borderId="0" xfId="0" applyNumberFormat="1" applyFont="1" applyFill="1" applyAlignment="1" applyProtection="1">
      <alignment horizontal="center"/>
    </xf>
    <xf numFmtId="0" fontId="4" fillId="7" borderId="0" xfId="0" applyFont="1" applyFill="1" applyAlignment="1" applyProtection="1">
      <alignment horizontal="center"/>
    </xf>
    <xf numFmtId="49" fontId="4" fillId="7" borderId="0" xfId="0" applyNumberFormat="1" applyFont="1" applyFill="1" applyAlignment="1" applyProtection="1">
      <alignment horizontal="left"/>
    </xf>
    <xf numFmtId="164" fontId="4" fillId="7" borderId="0" xfId="1" applyFont="1" applyFill="1" applyAlignment="1" applyProtection="1">
      <alignment horizontal="center"/>
    </xf>
    <xf numFmtId="49" fontId="4" fillId="7" borderId="0" xfId="0" applyNumberFormat="1" applyFont="1" applyFill="1" applyProtection="1"/>
    <xf numFmtId="49" fontId="4" fillId="7" borderId="0" xfId="0" applyNumberFormat="1" applyFont="1" applyFill="1" applyAlignment="1" applyProtection="1">
      <alignment horizontal="center" vertical="center"/>
    </xf>
    <xf numFmtId="14" fontId="4" fillId="7" borderId="0" xfId="0" applyNumberFormat="1" applyFont="1" applyFill="1" applyProtection="1"/>
    <xf numFmtId="0" fontId="4" fillId="7" borderId="0" xfId="0" applyNumberFormat="1" applyFont="1" applyFill="1" applyProtection="1"/>
    <xf numFmtId="43" fontId="0" fillId="0" borderId="0" xfId="2" applyFont="1"/>
    <xf numFmtId="0" fontId="5" fillId="2" borderId="0" xfId="0" applyFont="1" applyFill="1" applyAlignment="1">
      <alignment horizontal="center"/>
    </xf>
    <xf numFmtId="43" fontId="5" fillId="2" borderId="0" xfId="2" applyFont="1" applyFill="1" applyAlignment="1">
      <alignment horizontal="center"/>
    </xf>
    <xf numFmtId="0" fontId="0" fillId="0" borderId="0" xfId="0" applyFill="1"/>
    <xf numFmtId="43" fontId="0" fillId="0" borderId="0" xfId="2" applyFon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6" fillId="8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43" fontId="0" fillId="0" borderId="0" xfId="2" applyFont="1" applyBorder="1" applyAlignment="1">
      <alignment horizontal="center" vertical="center"/>
    </xf>
    <xf numFmtId="0" fontId="6" fillId="8" borderId="0" xfId="0" applyFont="1" applyFill="1" applyBorder="1" applyAlignment="1">
      <alignment vertical="center" wrapText="1"/>
    </xf>
    <xf numFmtId="0" fontId="8" fillId="8" borderId="0" xfId="0" applyFont="1" applyFill="1" applyAlignment="1">
      <alignment horizontal="center" vertical="center"/>
    </xf>
    <xf numFmtId="43" fontId="0" fillId="0" borderId="0" xfId="2" applyFont="1" applyAlignment="1">
      <alignment horizontal="center" vertical="center"/>
    </xf>
    <xf numFmtId="43" fontId="0" fillId="0" borderId="0" xfId="2" applyFont="1" applyBorder="1" applyAlignment="1">
      <alignment vertical="center" wrapText="1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Border="1" applyAlignment="1">
      <alignment vertical="center" wrapText="1"/>
    </xf>
    <xf numFmtId="0" fontId="8" fillId="8" borderId="0" xfId="0" applyFont="1" applyFill="1" applyAlignment="1">
      <alignment vertical="center" wrapText="1"/>
    </xf>
    <xf numFmtId="0" fontId="0" fillId="9" borderId="0" xfId="0" applyFill="1" applyBorder="1" applyAlignment="1">
      <alignment vertical="center" wrapText="1"/>
    </xf>
    <xf numFmtId="43" fontId="0" fillId="0" borderId="0" xfId="2" applyFont="1" applyAlignment="1">
      <alignment horizontal="left" vertical="center"/>
    </xf>
    <xf numFmtId="43" fontId="0" fillId="0" borderId="0" xfId="2" applyFont="1" applyAlignment="1">
      <alignment vertical="center" wrapText="1"/>
    </xf>
    <xf numFmtId="43" fontId="0" fillId="0" borderId="0" xfId="2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43" fontId="0" fillId="0" borderId="0" xfId="2" applyFont="1" applyFill="1" applyBorder="1" applyAlignment="1">
      <alignment horizontal="center" vertical="center"/>
    </xf>
    <xf numFmtId="43" fontId="0" fillId="0" borderId="1" xfId="2" applyFont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43" fontId="1" fillId="0" borderId="0" xfId="2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 wrapText="1"/>
    </xf>
    <xf numFmtId="43" fontId="1" fillId="0" borderId="0" xfId="2" applyFont="1" applyFill="1" applyBorder="1" applyAlignment="1">
      <alignment vertical="center" wrapText="1"/>
    </xf>
    <xf numFmtId="0" fontId="0" fillId="0" borderId="0" xfId="0" applyFont="1" applyFill="1" applyAlignment="1">
      <alignment horizontal="center" vertical="center"/>
    </xf>
    <xf numFmtId="43" fontId="1" fillId="0" borderId="0" xfId="2" applyFont="1" applyFill="1" applyAlignment="1">
      <alignment vertical="center"/>
    </xf>
    <xf numFmtId="0" fontId="0" fillId="0" borderId="0" xfId="0" applyFont="1" applyFill="1" applyAlignment="1">
      <alignment vertical="center" wrapText="1"/>
    </xf>
    <xf numFmtId="0" fontId="0" fillId="0" borderId="1" xfId="0" applyBorder="1" applyAlignment="1">
      <alignment vertical="center"/>
    </xf>
    <xf numFmtId="0" fontId="6" fillId="8" borderId="1" xfId="0" applyFont="1" applyFill="1" applyBorder="1" applyAlignment="1">
      <alignment horizontal="center" vertical="center"/>
    </xf>
    <xf numFmtId="43" fontId="1" fillId="0" borderId="1" xfId="2" applyFont="1" applyFill="1" applyBorder="1" applyAlignment="1">
      <alignment horizontal="center" vertical="center"/>
    </xf>
    <xf numFmtId="43" fontId="1" fillId="0" borderId="1" xfId="2" applyFont="1" applyFill="1" applyBorder="1" applyAlignment="1">
      <alignment vertical="center" wrapText="1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3" fontId="0" fillId="0" borderId="1" xfId="2" applyFont="1" applyBorder="1" applyAlignment="1">
      <alignment horizontal="center" vertical="center"/>
    </xf>
    <xf numFmtId="43" fontId="0" fillId="0" borderId="1" xfId="2" applyFont="1" applyBorder="1"/>
    <xf numFmtId="43" fontId="1" fillId="0" borderId="1" xfId="2" applyFont="1" applyFill="1" applyBorder="1" applyAlignment="1">
      <alignment vertical="center"/>
    </xf>
    <xf numFmtId="43" fontId="0" fillId="0" borderId="1" xfId="2" applyFont="1" applyBorder="1" applyAlignment="1">
      <alignment horizontal="left" vertical="center"/>
    </xf>
    <xf numFmtId="43" fontId="0" fillId="0" borderId="1" xfId="2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43" fontId="0" fillId="0" borderId="0" xfId="2" applyFont="1" applyFill="1" applyAlignment="1">
      <alignment horizontal="center" vertical="center"/>
    </xf>
    <xf numFmtId="43" fontId="0" fillId="0" borderId="0" xfId="2" applyFont="1" applyFill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43" fontId="0" fillId="0" borderId="0" xfId="2" applyFont="1" applyAlignment="1">
      <alignment horizontal="center"/>
    </xf>
    <xf numFmtId="0" fontId="0" fillId="0" borderId="0" xfId="0" applyAlignment="1">
      <alignment vertical="center"/>
    </xf>
    <xf numFmtId="43" fontId="0" fillId="0" borderId="0" xfId="2" applyFont="1" applyAlignment="1">
      <alignment vertical="center"/>
    </xf>
    <xf numFmtId="165" fontId="0" fillId="0" borderId="0" xfId="4" applyNumberFormat="1" applyFont="1"/>
    <xf numFmtId="0" fontId="10" fillId="0" borderId="0" xfId="0" applyFont="1" applyAlignment="1">
      <alignment horizontal="center"/>
    </xf>
    <xf numFmtId="43" fontId="11" fillId="0" borderId="0" xfId="2" applyFont="1"/>
    <xf numFmtId="0" fontId="9" fillId="0" borderId="0" xfId="0" applyFont="1"/>
    <xf numFmtId="43" fontId="8" fillId="11" borderId="0" xfId="2" applyFont="1" applyFill="1" applyAlignment="1">
      <alignment horizontal="center" vertical="center"/>
    </xf>
    <xf numFmtId="43" fontId="0" fillId="10" borderId="0" xfId="2" applyFont="1" applyFill="1" applyAlignment="1">
      <alignment vertical="center"/>
    </xf>
    <xf numFmtId="43" fontId="0" fillId="0" borderId="1" xfId="2" applyFont="1" applyFill="1" applyBorder="1" applyAlignment="1">
      <alignment horizontal="center" vertical="center"/>
    </xf>
    <xf numFmtId="43" fontId="0" fillId="0" borderId="1" xfId="2" applyFont="1" applyFill="1" applyBorder="1" applyAlignment="1">
      <alignment vertical="center" wrapText="1"/>
    </xf>
    <xf numFmtId="43" fontId="0" fillId="0" borderId="1" xfId="2" applyFont="1" applyFill="1" applyBorder="1" applyAlignment="1">
      <alignment vertical="center"/>
    </xf>
    <xf numFmtId="0" fontId="0" fillId="0" borderId="2" xfId="0" applyBorder="1"/>
    <xf numFmtId="43" fontId="0" fillId="0" borderId="2" xfId="2" applyFont="1" applyBorder="1"/>
    <xf numFmtId="0" fontId="0" fillId="0" borderId="2" xfId="0" applyBorder="1" applyAlignment="1">
      <alignment wrapText="1"/>
    </xf>
    <xf numFmtId="0" fontId="5" fillId="12" borderId="2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 vertical="center"/>
    </xf>
    <xf numFmtId="43" fontId="0" fillId="0" borderId="2" xfId="2" applyFont="1" applyBorder="1" applyAlignment="1">
      <alignment horizontal="center" vertical="center"/>
    </xf>
    <xf numFmtId="165" fontId="0" fillId="0" borderId="0" xfId="0" applyNumberFormat="1"/>
    <xf numFmtId="43" fontId="10" fillId="17" borderId="0" xfId="2" applyFont="1" applyFill="1" applyAlignment="1">
      <alignment vertical="center"/>
    </xf>
    <xf numFmtId="166" fontId="0" fillId="0" borderId="2" xfId="2" applyNumberFormat="1" applyFont="1" applyBorder="1" applyAlignment="1">
      <alignment horizontal="center" vertical="center"/>
    </xf>
    <xf numFmtId="166" fontId="0" fillId="0" borderId="0" xfId="2" applyNumberFormat="1" applyFont="1"/>
    <xf numFmtId="0" fontId="10" fillId="0" borderId="0" xfId="0" applyFont="1" applyFill="1" applyAlignment="1">
      <alignment vertical="center" wrapText="1"/>
    </xf>
    <xf numFmtId="43" fontId="10" fillId="0" borderId="1" xfId="2" applyFont="1" applyFill="1" applyBorder="1" applyAlignment="1">
      <alignment horizontal="center" vertical="center"/>
    </xf>
    <xf numFmtId="43" fontId="10" fillId="0" borderId="1" xfId="2" applyFont="1" applyFill="1" applyBorder="1" applyAlignment="1">
      <alignment vertical="center" wrapText="1"/>
    </xf>
    <xf numFmtId="0" fontId="10" fillId="0" borderId="1" xfId="0" applyFont="1" applyFill="1" applyBorder="1" applyAlignment="1">
      <alignment horizontal="center" vertical="center"/>
    </xf>
    <xf numFmtId="43" fontId="10" fillId="0" borderId="0" xfId="2" applyFont="1" applyFill="1" applyAlignment="1">
      <alignment vertical="center"/>
    </xf>
    <xf numFmtId="0" fontId="5" fillId="13" borderId="2" xfId="0" applyFont="1" applyFill="1" applyBorder="1"/>
    <xf numFmtId="0" fontId="0" fillId="0" borderId="0" xfId="0" applyFill="1" applyAlignment="1">
      <alignment vertical="center" wrapText="1"/>
    </xf>
    <xf numFmtId="43" fontId="5" fillId="13" borderId="2" xfId="2" applyFont="1" applyFill="1" applyBorder="1"/>
    <xf numFmtId="166" fontId="0" fillId="0" borderId="2" xfId="2" applyNumberFormat="1" applyFont="1" applyBorder="1"/>
    <xf numFmtId="166" fontId="5" fillId="13" borderId="2" xfId="2" applyNumberFormat="1" applyFont="1" applyFill="1" applyBorder="1"/>
    <xf numFmtId="166" fontId="0" fillId="18" borderId="2" xfId="2" applyNumberFormat="1" applyFont="1" applyFill="1" applyBorder="1"/>
    <xf numFmtId="43" fontId="0" fillId="18" borderId="2" xfId="2" applyFont="1" applyFill="1" applyBorder="1"/>
    <xf numFmtId="0" fontId="5" fillId="11" borderId="0" xfId="0" applyFont="1" applyFill="1" applyAlignment="1">
      <alignment horizontal="center"/>
    </xf>
    <xf numFmtId="0" fontId="5" fillId="11" borderId="2" xfId="0" applyFont="1" applyFill="1" applyBorder="1" applyAlignment="1">
      <alignment horizontal="center"/>
    </xf>
    <xf numFmtId="166" fontId="0" fillId="0" borderId="0" xfId="0" applyNumberFormat="1"/>
    <xf numFmtId="165" fontId="0" fillId="18" borderId="0" xfId="4" applyNumberFormat="1" applyFont="1" applyFill="1"/>
    <xf numFmtId="0" fontId="0" fillId="18" borderId="0" xfId="0" applyFill="1"/>
    <xf numFmtId="43" fontId="0" fillId="0" borderId="0" xfId="2" applyFont="1" applyAlignment="1">
      <alignment vertical="center"/>
    </xf>
    <xf numFmtId="43" fontId="0" fillId="0" borderId="3" xfId="2" applyFont="1" applyBorder="1" applyAlignment="1">
      <alignment vertical="center"/>
    </xf>
    <xf numFmtId="43" fontId="8" fillId="11" borderId="3" xfId="2" applyFont="1" applyFill="1" applyBorder="1" applyAlignment="1">
      <alignment horizontal="center" vertical="center"/>
    </xf>
    <xf numFmtId="43" fontId="0" fillId="0" borderId="3" xfId="2" applyFont="1" applyFill="1" applyBorder="1" applyAlignment="1">
      <alignment vertical="center"/>
    </xf>
    <xf numFmtId="43" fontId="0" fillId="0" borderId="0" xfId="2" applyFont="1" applyAlignment="1">
      <alignment vertical="center"/>
    </xf>
    <xf numFmtId="0" fontId="10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43" fontId="12" fillId="18" borderId="0" xfId="2" applyFont="1" applyFill="1"/>
    <xf numFmtId="43" fontId="0" fillId="0" borderId="4" xfId="2" applyFont="1" applyBorder="1" applyAlignment="1">
      <alignment vertical="center"/>
    </xf>
    <xf numFmtId="43" fontId="0" fillId="10" borderId="4" xfId="2" applyFont="1" applyFill="1" applyBorder="1" applyAlignment="1">
      <alignment vertical="center"/>
    </xf>
    <xf numFmtId="0" fontId="6" fillId="8" borderId="0" xfId="0" applyFont="1" applyFill="1" applyAlignment="1">
      <alignment horizontal="center"/>
    </xf>
    <xf numFmtId="0" fontId="5" fillId="13" borderId="2" xfId="0" applyFont="1" applyFill="1" applyBorder="1"/>
    <xf numFmtId="0" fontId="5" fillId="13" borderId="2" xfId="0" applyFont="1" applyFill="1" applyBorder="1" applyAlignment="1">
      <alignment horizontal="center"/>
    </xf>
    <xf numFmtId="0" fontId="8" fillId="16" borderId="2" xfId="0" applyFont="1" applyFill="1" applyBorder="1" applyAlignment="1">
      <alignment horizontal="center"/>
    </xf>
    <xf numFmtId="0" fontId="5" fillId="15" borderId="2" xfId="0" applyFont="1" applyFill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43" fontId="5" fillId="3" borderId="0" xfId="2" applyFont="1" applyFill="1" applyAlignment="1">
      <alignment horizontal="center" vertical="center"/>
    </xf>
  </cellXfs>
  <cellStyles count="5">
    <cellStyle name="Millares" xfId="2" builtinId="3"/>
    <cellStyle name="Millares 2" xfId="1" xr:uid="{00000000-0005-0000-0000-000001000000}"/>
    <cellStyle name="Normal" xfId="0" builtinId="0"/>
    <cellStyle name="Normal 2" xfId="3" xr:uid="{00000000-0005-0000-0000-000003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76728</xdr:colOff>
      <xdr:row>6</xdr:row>
      <xdr:rowOff>960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20447" y="0"/>
          <a:ext cx="3933031" cy="57246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80696" y="9260"/>
          <a:ext cx="2415119" cy="6680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Ventas MasterCard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</xdr:colOff>
          <xdr:row>11</xdr:row>
          <xdr:rowOff>137160</xdr:rowOff>
        </xdr:from>
        <xdr:to>
          <xdr:col>5</xdr:col>
          <xdr:colOff>594360</xdr:colOff>
          <xdr:row>13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142875</xdr:colOff>
      <xdr:row>1335</xdr:row>
      <xdr:rowOff>0</xdr:rowOff>
    </xdr:from>
    <xdr:to>
      <xdr:col>2</xdr:col>
      <xdr:colOff>630238</xdr:colOff>
      <xdr:row>1339</xdr:row>
      <xdr:rowOff>51707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254279400"/>
          <a:ext cx="1320800" cy="813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166688</xdr:colOff>
      <xdr:row>1432</xdr:row>
      <xdr:rowOff>19050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14350" y="271995900"/>
          <a:ext cx="857250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285750</xdr:colOff>
      <xdr:row>7</xdr:row>
      <xdr:rowOff>47625</xdr:rowOff>
    </xdr:from>
    <xdr:to>
      <xdr:col>2</xdr:col>
      <xdr:colOff>666750</xdr:colOff>
      <xdr:row>14</xdr:row>
      <xdr:rowOff>71437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44" t="16091" r="10919" b="18391"/>
        <a:stretch/>
      </xdr:blipFill>
      <xdr:spPr>
        <a:xfrm>
          <a:off x="285750" y="809625"/>
          <a:ext cx="1583531" cy="1357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odelos%20e%20Incentivacion\01%20BMIN%20-%20BANCA%20MINORISTA\4T%202015\02%20Base%20de%20Of%20y%20Ejec%20Participantes%20%204T\Base%20participantes%20oficinas%20y%20ejecutivos%20BMIN%204T%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p008663\AppData\Local\Temp\BBDD%20Ejecutiv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M-OFIC"/>
      <sheetName val="Resumen Territorio Recomposicio"/>
      <sheetName val="BASE DE OFICINAS 4T"/>
      <sheetName val="Hoja1"/>
      <sheetName val="EBP"/>
      <sheetName val="VIP"/>
      <sheetName val="EBP-PLUS"/>
      <sheetName val="EBN"/>
      <sheetName val="EEMM"/>
      <sheetName val="NUM-EBP"/>
      <sheetName val="NUM-VIP"/>
      <sheetName val="Hoja4"/>
      <sheetName val="GOF"/>
      <sheetName val="SUBGERENTE Y ASESORES"/>
      <sheetName val="Consideraciones Of Especiales"/>
    </sheetNames>
    <sheetDataSet>
      <sheetData sheetId="0"/>
      <sheetData sheetId="1"/>
      <sheetData sheetId="2">
        <row r="3">
          <cell r="A3" t="str">
            <v>0002</v>
          </cell>
          <cell r="B3" t="str">
            <v>N2</v>
          </cell>
          <cell r="C3">
            <v>41999</v>
          </cell>
          <cell r="D3" t="str">
            <v>OFICINA PANDO</v>
          </cell>
          <cell r="E3" t="str">
            <v>0002</v>
          </cell>
          <cell r="F3" t="str">
            <v>OFICINA MADRE</v>
          </cell>
          <cell r="G3" t="str">
            <v>0645</v>
          </cell>
          <cell r="H3" t="str">
            <v>GERENCIA TERRITORIAL CALLAO SAN MIGUEL</v>
          </cell>
        </row>
        <row r="4">
          <cell r="A4" t="str">
            <v>0003</v>
          </cell>
          <cell r="B4" t="str">
            <v>N2</v>
          </cell>
          <cell r="C4">
            <v>41694</v>
          </cell>
          <cell r="D4" t="str">
            <v>OFICINA MERC MAYORISTA SANTA ANITA</v>
          </cell>
          <cell r="E4" t="str">
            <v>0003</v>
          </cell>
          <cell r="F4" t="str">
            <v>OFICINA MADRE</v>
          </cell>
          <cell r="G4" t="str">
            <v>0734</v>
          </cell>
          <cell r="H4" t="str">
            <v>GERENCIA TERRITORIAL LIMA RESIDENCIAL</v>
          </cell>
        </row>
        <row r="5">
          <cell r="A5" t="str">
            <v>0005</v>
          </cell>
          <cell r="B5" t="str">
            <v>N2</v>
          </cell>
          <cell r="C5">
            <v>41666</v>
          </cell>
          <cell r="D5" t="str">
            <v>OFICINA MEGAPLAZA CHIMBOTE</v>
          </cell>
          <cell r="E5" t="str">
            <v>0005</v>
          </cell>
          <cell r="F5" t="str">
            <v>OFICINA MADRE</v>
          </cell>
          <cell r="G5">
            <v>3132</v>
          </cell>
          <cell r="H5" t="str">
            <v>GERENCIA TERRITORIAL NORTE SUR CHICO</v>
          </cell>
        </row>
        <row r="6">
          <cell r="A6" t="str">
            <v>0006</v>
          </cell>
          <cell r="B6" t="str">
            <v>N1</v>
          </cell>
          <cell r="C6">
            <v>0</v>
          </cell>
          <cell r="D6" t="str">
            <v>OFICINA ESAN</v>
          </cell>
          <cell r="E6" t="str">
            <v>0286</v>
          </cell>
          <cell r="F6" t="str">
            <v xml:space="preserve">ESPECIAL OPERATIVA </v>
          </cell>
          <cell r="G6">
            <v>3133</v>
          </cell>
          <cell r="H6" t="str">
            <v>GERENCIA TERRITORIAL SURCO LA MOLINA</v>
          </cell>
        </row>
        <row r="7">
          <cell r="A7" t="str">
            <v>0010</v>
          </cell>
          <cell r="B7" t="str">
            <v>N2</v>
          </cell>
          <cell r="C7">
            <v>41778</v>
          </cell>
          <cell r="D7" t="str">
            <v>OFICINA ANDAHUAYLAS</v>
          </cell>
          <cell r="E7" t="str">
            <v>0010</v>
          </cell>
          <cell r="F7" t="str">
            <v>OFICINA MADRE</v>
          </cell>
          <cell r="G7" t="str">
            <v>0665</v>
          </cell>
          <cell r="H7" t="str">
            <v>GERENCIA TERRITORIAL CENTRO</v>
          </cell>
        </row>
        <row r="8">
          <cell r="A8" t="str">
            <v>0013</v>
          </cell>
          <cell r="B8" t="str">
            <v>N2</v>
          </cell>
          <cell r="C8">
            <v>42037</v>
          </cell>
          <cell r="D8" t="str">
            <v>OFICINA PASEO DE LA CASTELLANA</v>
          </cell>
          <cell r="E8" t="str">
            <v>0013</v>
          </cell>
          <cell r="F8" t="str">
            <v>OFICINA MADRE</v>
          </cell>
          <cell r="G8">
            <v>3133</v>
          </cell>
          <cell r="H8" t="str">
            <v>GERENCIA TERRITORIAL SURCO LA MOLINA</v>
          </cell>
        </row>
        <row r="9">
          <cell r="A9" t="str">
            <v>0014</v>
          </cell>
          <cell r="B9" t="str">
            <v>N2</v>
          </cell>
          <cell r="C9">
            <v>41288</v>
          </cell>
          <cell r="D9" t="str">
            <v>OFICINA METRO CHILCA HUANCAYO</v>
          </cell>
          <cell r="E9" t="str">
            <v>0014</v>
          </cell>
          <cell r="F9" t="str">
            <v>OFICINA MADRE</v>
          </cell>
          <cell r="G9" t="str">
            <v>0665</v>
          </cell>
          <cell r="H9" t="str">
            <v>GERENCIA TERRITORIAL CENTRO</v>
          </cell>
        </row>
        <row r="10">
          <cell r="A10" t="str">
            <v>0023</v>
          </cell>
          <cell r="B10" t="str">
            <v>N2</v>
          </cell>
          <cell r="C10">
            <v>41617</v>
          </cell>
          <cell r="D10" t="str">
            <v>OFICINA OVALO QUIÑONES</v>
          </cell>
          <cell r="E10" t="str">
            <v>0023</v>
          </cell>
          <cell r="F10" t="str">
            <v>OFICINA MADRE</v>
          </cell>
          <cell r="G10" t="str">
            <v>0734</v>
          </cell>
          <cell r="H10" t="str">
            <v>GERENCIA TERRITORIAL LIMA RESIDENCIAL</v>
          </cell>
        </row>
        <row r="11">
          <cell r="A11" t="str">
            <v>0030</v>
          </cell>
          <cell r="B11" t="str">
            <v>N2</v>
          </cell>
          <cell r="C11">
            <v>41673</v>
          </cell>
          <cell r="D11" t="str">
            <v>OFICINA OVALO LARCO TRUJILLO</v>
          </cell>
          <cell r="E11" t="str">
            <v>0030</v>
          </cell>
          <cell r="F11" t="str">
            <v>OFICINA MADRE</v>
          </cell>
          <cell r="G11" t="str">
            <v>0668</v>
          </cell>
          <cell r="H11" t="str">
            <v>GERENCIA TERRITORIAL NORTE</v>
          </cell>
        </row>
        <row r="12">
          <cell r="A12" t="str">
            <v>0048</v>
          </cell>
          <cell r="B12" t="str">
            <v>N2</v>
          </cell>
          <cell r="C12">
            <v>41674</v>
          </cell>
          <cell r="D12" t="str">
            <v>OFICINA MEGA EXPRESS VILLA EL SALVADOR</v>
          </cell>
          <cell r="E12" t="str">
            <v>0048</v>
          </cell>
          <cell r="F12" t="str">
            <v>OFICINA MADRE</v>
          </cell>
          <cell r="G12">
            <v>3132</v>
          </cell>
          <cell r="H12" t="str">
            <v>GERENCIA TERRITORIAL NORTE SUR CHICO</v>
          </cell>
        </row>
        <row r="13">
          <cell r="A13" t="str">
            <v>0050</v>
          </cell>
          <cell r="B13" t="str">
            <v>N2</v>
          </cell>
          <cell r="C13">
            <v>41659</v>
          </cell>
          <cell r="D13" t="str">
            <v>OFICINA SAN JUAN IQUITOS</v>
          </cell>
          <cell r="E13" t="str">
            <v>0050</v>
          </cell>
          <cell r="F13" t="str">
            <v>OFICINA MADRE</v>
          </cell>
          <cell r="G13">
            <v>3249</v>
          </cell>
          <cell r="H13" t="str">
            <v>GERENCIA TERRITORIAL NOR ORIENTE</v>
          </cell>
        </row>
        <row r="14">
          <cell r="A14" t="str">
            <v>0053</v>
          </cell>
          <cell r="B14" t="str">
            <v>N2</v>
          </cell>
          <cell r="C14">
            <v>41660</v>
          </cell>
          <cell r="D14" t="str">
            <v>OFICINA EL QUINDE ICA</v>
          </cell>
          <cell r="E14" t="str">
            <v>0053</v>
          </cell>
          <cell r="F14" t="str">
            <v>OFICINA MADRE</v>
          </cell>
          <cell r="G14">
            <v>3132</v>
          </cell>
          <cell r="H14" t="str">
            <v>GERENCIA TERRITORIAL NORTE SUR CHICO</v>
          </cell>
        </row>
        <row r="15">
          <cell r="A15" t="str">
            <v>0054</v>
          </cell>
          <cell r="B15" t="str">
            <v>N2</v>
          </cell>
          <cell r="C15">
            <v>41662</v>
          </cell>
          <cell r="D15" t="str">
            <v>OFICINA MEGAPLAZA CAÑETE</v>
          </cell>
          <cell r="E15" t="str">
            <v>0054</v>
          </cell>
          <cell r="F15" t="str">
            <v>OFICINA MADRE</v>
          </cell>
          <cell r="G15">
            <v>3132</v>
          </cell>
          <cell r="H15" t="str">
            <v>GERENCIA TERRITORIAL NORTE SUR CHICO</v>
          </cell>
        </row>
        <row r="16">
          <cell r="A16" t="str">
            <v>0058</v>
          </cell>
          <cell r="B16" t="str">
            <v>N2</v>
          </cell>
          <cell r="C16">
            <v>41666</v>
          </cell>
          <cell r="D16" t="str">
            <v>OFICINA STRIP CENTER BARRANCA</v>
          </cell>
          <cell r="E16" t="str">
            <v>0058</v>
          </cell>
          <cell r="F16" t="str">
            <v>OFICINA MADRE</v>
          </cell>
          <cell r="G16">
            <v>3132</v>
          </cell>
          <cell r="H16" t="str">
            <v>GERENCIA TERRITORIAL NORTE SUR CHICO</v>
          </cell>
        </row>
        <row r="17">
          <cell r="A17" t="str">
            <v>0059</v>
          </cell>
          <cell r="B17" t="str">
            <v>N2</v>
          </cell>
          <cell r="C17">
            <v>41673</v>
          </cell>
          <cell r="D17" t="str">
            <v>OFICINA LEGUIA CHICLAYO</v>
          </cell>
          <cell r="E17" t="str">
            <v>0059</v>
          </cell>
          <cell r="F17" t="str">
            <v>OFICINA MADRE</v>
          </cell>
          <cell r="G17" t="str">
            <v>0668</v>
          </cell>
          <cell r="H17" t="str">
            <v>GERENCIA TERRITORIAL NORTE</v>
          </cell>
        </row>
        <row r="18">
          <cell r="A18" t="str">
            <v>0081</v>
          </cell>
          <cell r="B18" t="str">
            <v>N2</v>
          </cell>
          <cell r="C18">
            <v>41962</v>
          </cell>
          <cell r="D18" t="str">
            <v>OFICINA BAGUA GRANDE</v>
          </cell>
          <cell r="E18" t="str">
            <v>0081</v>
          </cell>
          <cell r="F18" t="str">
            <v>OFICINA MADRE</v>
          </cell>
          <cell r="G18" t="str">
            <v>0668</v>
          </cell>
          <cell r="H18" t="str">
            <v>GERENCIA TERRITORIAL NORTE</v>
          </cell>
        </row>
        <row r="19">
          <cell r="A19" t="str">
            <v>0082</v>
          </cell>
          <cell r="B19" t="str">
            <v>N2</v>
          </cell>
          <cell r="C19">
            <v>41685</v>
          </cell>
          <cell r="D19" t="str">
            <v>PARRA AREQUIPA</v>
          </cell>
          <cell r="E19" t="str">
            <v>0082</v>
          </cell>
          <cell r="F19" t="str">
            <v>OFICINA MADRE</v>
          </cell>
          <cell r="G19" t="str">
            <v>0688</v>
          </cell>
          <cell r="H19" t="str">
            <v>GERENCIA TERRITORIAL SUR</v>
          </cell>
        </row>
        <row r="20">
          <cell r="A20" t="str">
            <v>0083</v>
          </cell>
          <cell r="B20" t="str">
            <v>N2</v>
          </cell>
          <cell r="C20">
            <v>41673</v>
          </cell>
          <cell r="D20" t="str">
            <v>OFICINA REAL PLAZA CUSCO</v>
          </cell>
          <cell r="E20" t="str">
            <v>0083</v>
          </cell>
          <cell r="F20" t="str">
            <v>OFICINA MADRE</v>
          </cell>
          <cell r="G20" t="str">
            <v>0688</v>
          </cell>
          <cell r="H20" t="str">
            <v>GERENCIA TERRITORIAL SUR</v>
          </cell>
        </row>
        <row r="21">
          <cell r="A21" t="str">
            <v>0087</v>
          </cell>
          <cell r="B21" t="str">
            <v>N2</v>
          </cell>
          <cell r="C21">
            <v>41932</v>
          </cell>
          <cell r="D21" t="str">
            <v>OFICINA SANTA ROSA SULLANA</v>
          </cell>
          <cell r="E21" t="str">
            <v>0087</v>
          </cell>
          <cell r="F21" t="str">
            <v>OFICINA MADRE</v>
          </cell>
          <cell r="G21">
            <v>3249</v>
          </cell>
          <cell r="H21" t="str">
            <v>GERENCIA TERRITORIAL NOR ORIENTE</v>
          </cell>
        </row>
        <row r="22">
          <cell r="A22" t="str">
            <v>0089</v>
          </cell>
          <cell r="B22" t="str">
            <v>N2</v>
          </cell>
          <cell r="C22">
            <v>41778</v>
          </cell>
          <cell r="D22" t="str">
            <v>OFICINA REAL PLAZA CAJAMARCA</v>
          </cell>
          <cell r="E22" t="str">
            <v>0089</v>
          </cell>
          <cell r="F22" t="str">
            <v>OFICINA MADRE</v>
          </cell>
          <cell r="G22" t="str">
            <v>0665</v>
          </cell>
          <cell r="H22" t="str">
            <v>GERENCIA TERRITORIAL CENTRO</v>
          </cell>
        </row>
        <row r="23">
          <cell r="A23" t="str">
            <v>0093</v>
          </cell>
          <cell r="B23" t="str">
            <v>N2</v>
          </cell>
          <cell r="C23">
            <v>41953</v>
          </cell>
          <cell r="D23" t="str">
            <v>OFICINA CANDAMO</v>
          </cell>
          <cell r="E23" t="str">
            <v>0093</v>
          </cell>
          <cell r="F23" t="str">
            <v>OFICINA MADRE</v>
          </cell>
          <cell r="G23" t="str">
            <v>0674</v>
          </cell>
          <cell r="H23" t="str">
            <v>GERENCIA TERRITORIAL LINCE</v>
          </cell>
        </row>
        <row r="24">
          <cell r="A24" t="str">
            <v>0094</v>
          </cell>
          <cell r="B24" t="str">
            <v>N2</v>
          </cell>
          <cell r="C24">
            <v>41922</v>
          </cell>
          <cell r="D24" t="str">
            <v>OFICINA REAL PLAZA SALAVERRY</v>
          </cell>
          <cell r="E24" t="str">
            <v>0094</v>
          </cell>
          <cell r="F24" t="str">
            <v>OFICINA MADRE</v>
          </cell>
          <cell r="G24" t="str">
            <v>0674</v>
          </cell>
          <cell r="H24" t="str">
            <v>GERENCIA TERRITORIAL LINCE</v>
          </cell>
        </row>
        <row r="25">
          <cell r="A25" t="str">
            <v>0101</v>
          </cell>
          <cell r="B25" t="str">
            <v>D</v>
          </cell>
          <cell r="C25">
            <v>0</v>
          </cell>
          <cell r="D25" t="str">
            <v>OFICINA CAMANA</v>
          </cell>
          <cell r="E25" t="str">
            <v>0101</v>
          </cell>
          <cell r="F25" t="str">
            <v>OFICINA MADRE</v>
          </cell>
          <cell r="G25" t="str">
            <v>0736</v>
          </cell>
          <cell r="H25" t="str">
            <v>GERENCIA TERRITORIAL LIMA CENTRO</v>
          </cell>
        </row>
        <row r="26">
          <cell r="A26" t="str">
            <v>0102</v>
          </cell>
          <cell r="B26" t="str">
            <v>B</v>
          </cell>
          <cell r="C26">
            <v>0</v>
          </cell>
          <cell r="D26" t="str">
            <v>OFICINA CALLAO</v>
          </cell>
          <cell r="E26" t="str">
            <v>0102</v>
          </cell>
          <cell r="F26" t="str">
            <v>OFICINA MADRE</v>
          </cell>
          <cell r="G26" t="str">
            <v>0645</v>
          </cell>
          <cell r="H26" t="str">
            <v>GERENCIA TERRITORIAL CALLAO SAN MIGUEL</v>
          </cell>
        </row>
        <row r="27">
          <cell r="A27" t="str">
            <v>0103</v>
          </cell>
          <cell r="B27" t="str">
            <v>A</v>
          </cell>
          <cell r="C27">
            <v>0</v>
          </cell>
          <cell r="D27" t="str">
            <v>OFICINA CAPON</v>
          </cell>
          <cell r="E27" t="str">
            <v>0103</v>
          </cell>
          <cell r="F27" t="str">
            <v>OFICINA MADRE</v>
          </cell>
          <cell r="G27" t="str">
            <v>0736</v>
          </cell>
          <cell r="H27" t="str">
            <v>GERENCIA TERRITORIAL LIMA CENTRO</v>
          </cell>
        </row>
        <row r="28">
          <cell r="A28" t="str">
            <v>0105</v>
          </cell>
          <cell r="B28" t="str">
            <v>D</v>
          </cell>
          <cell r="C28">
            <v>0</v>
          </cell>
          <cell r="D28" t="str">
            <v>OFICINA RIMAC</v>
          </cell>
          <cell r="E28" t="str">
            <v>0105</v>
          </cell>
          <cell r="F28" t="str">
            <v>OFICINA MADRE</v>
          </cell>
          <cell r="G28" t="str">
            <v>0737</v>
          </cell>
          <cell r="H28" t="str">
            <v>GERENCIA TERRITORIAL MIRAFLORES SAN BORJA</v>
          </cell>
        </row>
        <row r="29">
          <cell r="A29" t="str">
            <v>0106</v>
          </cell>
          <cell r="B29" t="str">
            <v>D</v>
          </cell>
          <cell r="C29">
            <v>0</v>
          </cell>
          <cell r="D29" t="str">
            <v>OFICINA EL REMANSO</v>
          </cell>
          <cell r="E29" t="str">
            <v>0106</v>
          </cell>
          <cell r="F29" t="str">
            <v>OFICINA MADRE</v>
          </cell>
          <cell r="G29">
            <v>3133</v>
          </cell>
          <cell r="H29" t="str">
            <v>GERENCIA TERRITORIAL SURCO LA MOLINA</v>
          </cell>
        </row>
        <row r="30">
          <cell r="A30" t="str">
            <v>0107</v>
          </cell>
          <cell r="B30" t="str">
            <v>D</v>
          </cell>
          <cell r="C30">
            <v>0</v>
          </cell>
          <cell r="D30" t="str">
            <v>OFICINA FAUCETT</v>
          </cell>
          <cell r="E30" t="str">
            <v>0107</v>
          </cell>
          <cell r="F30" t="str">
            <v>OFICINA MADRE</v>
          </cell>
          <cell r="G30" t="str">
            <v>0645</v>
          </cell>
          <cell r="H30" t="str">
            <v>GERENCIA TERRITORIAL CALLAO SAN MIGUEL</v>
          </cell>
        </row>
        <row r="31">
          <cell r="A31" t="str">
            <v>0108</v>
          </cell>
          <cell r="B31" t="str">
            <v>E</v>
          </cell>
          <cell r="C31">
            <v>0</v>
          </cell>
          <cell r="D31" t="str">
            <v>OFICINA BREÑA</v>
          </cell>
          <cell r="E31" t="str">
            <v>0108</v>
          </cell>
          <cell r="F31" t="str">
            <v>OFICINA MADRE</v>
          </cell>
          <cell r="G31" t="str">
            <v>0736</v>
          </cell>
          <cell r="H31" t="str">
            <v>GERENCIA TERRITORIAL LIMA CENTRO</v>
          </cell>
        </row>
        <row r="32">
          <cell r="A32" t="str">
            <v>0109</v>
          </cell>
          <cell r="B32" t="str">
            <v>A</v>
          </cell>
          <cell r="C32">
            <v>0</v>
          </cell>
          <cell r="D32" t="str">
            <v>OFICINA LA MOLINA</v>
          </cell>
          <cell r="E32" t="str">
            <v>0109</v>
          </cell>
          <cell r="F32" t="str">
            <v>OFICINA MADRE</v>
          </cell>
          <cell r="G32">
            <v>3133</v>
          </cell>
          <cell r="H32" t="str">
            <v>GERENCIA TERRITORIAL SURCO LA MOLINA</v>
          </cell>
        </row>
        <row r="33">
          <cell r="A33" t="str">
            <v>0110</v>
          </cell>
          <cell r="B33" t="str">
            <v>E</v>
          </cell>
          <cell r="C33">
            <v>0</v>
          </cell>
          <cell r="D33" t="str">
            <v>OFICINA VENEZUELA 1</v>
          </cell>
          <cell r="E33" t="str">
            <v>0110</v>
          </cell>
          <cell r="F33" t="str">
            <v>OFICINA MADRE</v>
          </cell>
          <cell r="G33" t="str">
            <v>0736</v>
          </cell>
          <cell r="H33" t="str">
            <v>GERENCIA TERRITORIAL LIMA CENTRO</v>
          </cell>
        </row>
        <row r="34">
          <cell r="A34" t="str">
            <v>0111</v>
          </cell>
          <cell r="B34" t="str">
            <v>C</v>
          </cell>
          <cell r="C34">
            <v>0</v>
          </cell>
          <cell r="D34" t="str">
            <v>OFICINA LOS OLIVOS</v>
          </cell>
          <cell r="E34" t="str">
            <v>0111</v>
          </cell>
          <cell r="F34" t="str">
            <v>OFICINA MADRE</v>
          </cell>
          <cell r="G34" t="str">
            <v>0734</v>
          </cell>
          <cell r="H34" t="str">
            <v>GERENCIA TERRITORIAL LIMA RESIDENCIAL</v>
          </cell>
        </row>
        <row r="35">
          <cell r="A35" t="str">
            <v>0112</v>
          </cell>
          <cell r="B35" t="str">
            <v>D</v>
          </cell>
          <cell r="C35">
            <v>0</v>
          </cell>
          <cell r="D35" t="str">
            <v>OFICINA MEXICO</v>
          </cell>
          <cell r="E35" t="str">
            <v>0112</v>
          </cell>
          <cell r="F35" t="str">
            <v>OFICINA MADRE</v>
          </cell>
          <cell r="G35" t="str">
            <v>0736</v>
          </cell>
          <cell r="H35" t="str">
            <v>GERENCIA TERRITORIAL LIMA CENTRO</v>
          </cell>
        </row>
        <row r="36">
          <cell r="A36" t="str">
            <v>0113</v>
          </cell>
          <cell r="B36" t="str">
            <v>C</v>
          </cell>
          <cell r="C36">
            <v>0</v>
          </cell>
          <cell r="D36" t="str">
            <v>OFICINA INGENIERIA</v>
          </cell>
          <cell r="E36" t="str">
            <v>0113</v>
          </cell>
          <cell r="F36" t="str">
            <v>OFICINA MADRE</v>
          </cell>
          <cell r="G36" t="str">
            <v>0674</v>
          </cell>
          <cell r="H36" t="str">
            <v>GERENCIA TERRITORIAL LINCE</v>
          </cell>
        </row>
        <row r="37">
          <cell r="A37" t="str">
            <v>0114</v>
          </cell>
          <cell r="B37" t="str">
            <v>C</v>
          </cell>
          <cell r="C37">
            <v>0</v>
          </cell>
          <cell r="D37" t="str">
            <v>OFICINA BARRANCO</v>
          </cell>
          <cell r="E37" t="str">
            <v>0114</v>
          </cell>
          <cell r="F37" t="str">
            <v>OFICINA MADRE</v>
          </cell>
          <cell r="G37" t="str">
            <v>0630</v>
          </cell>
          <cell r="H37" t="str">
            <v>GERENCIA TERRITORIAL LIMA SUR</v>
          </cell>
        </row>
        <row r="38">
          <cell r="A38" t="str">
            <v>0115</v>
          </cell>
          <cell r="B38" t="str">
            <v>A</v>
          </cell>
          <cell r="C38">
            <v>0</v>
          </cell>
          <cell r="D38" t="str">
            <v>OFICINA LA VICTORIA</v>
          </cell>
          <cell r="E38" t="str">
            <v>0115</v>
          </cell>
          <cell r="F38" t="str">
            <v>OFICINA MADRE</v>
          </cell>
          <cell r="G38" t="str">
            <v>0736</v>
          </cell>
          <cell r="H38" t="str">
            <v>GERENCIA TERRITORIAL LIMA CENTRO</v>
          </cell>
        </row>
        <row r="39">
          <cell r="A39" t="str">
            <v>0116</v>
          </cell>
          <cell r="B39" t="str">
            <v>D</v>
          </cell>
          <cell r="C39">
            <v>0</v>
          </cell>
          <cell r="D39" t="str">
            <v>OFICINA COMAS</v>
          </cell>
          <cell r="E39" t="str">
            <v>0116</v>
          </cell>
          <cell r="F39" t="str">
            <v>OFICINA MADRE</v>
          </cell>
          <cell r="G39" t="str">
            <v>0734</v>
          </cell>
          <cell r="H39" t="str">
            <v>GERENCIA TERRITORIAL LIMA RESIDENCIAL</v>
          </cell>
        </row>
        <row r="40">
          <cell r="A40" t="str">
            <v>0117</v>
          </cell>
          <cell r="B40" t="str">
            <v>A+</v>
          </cell>
          <cell r="C40">
            <v>0</v>
          </cell>
          <cell r="D40" t="str">
            <v>OFICINA LARCO-TARATA</v>
          </cell>
          <cell r="E40" t="str">
            <v>0117</v>
          </cell>
          <cell r="F40" t="str">
            <v>OFICINA MADRE</v>
          </cell>
          <cell r="G40" t="str">
            <v>0737</v>
          </cell>
          <cell r="H40" t="str">
            <v>GERENCIA TERRITORIAL MIRAFLORES SAN BORJA</v>
          </cell>
        </row>
        <row r="41">
          <cell r="A41" t="str">
            <v>0118</v>
          </cell>
          <cell r="B41" t="str">
            <v>D</v>
          </cell>
          <cell r="C41">
            <v>0</v>
          </cell>
          <cell r="D41" t="str">
            <v>OFICINA BOLIVAR</v>
          </cell>
          <cell r="E41" t="str">
            <v>0118</v>
          </cell>
          <cell r="F41" t="str">
            <v>OFICINA MADRE</v>
          </cell>
          <cell r="G41" t="str">
            <v>0674</v>
          </cell>
          <cell r="H41" t="str">
            <v>GERENCIA TERRITORIAL LINCE</v>
          </cell>
        </row>
        <row r="42">
          <cell r="A42" t="str">
            <v>0119</v>
          </cell>
          <cell r="B42" t="str">
            <v>C</v>
          </cell>
          <cell r="C42">
            <v>0</v>
          </cell>
          <cell r="D42" t="str">
            <v>OFICINA SAN ANTONIO</v>
          </cell>
          <cell r="E42" t="str">
            <v>0119</v>
          </cell>
          <cell r="F42" t="str">
            <v>OFICINA MADRE</v>
          </cell>
          <cell r="G42" t="str">
            <v>0737</v>
          </cell>
          <cell r="H42" t="str">
            <v>GERENCIA TERRITORIAL MIRAFLORES SAN BORJA</v>
          </cell>
        </row>
        <row r="43">
          <cell r="A43" t="str">
            <v>0120</v>
          </cell>
          <cell r="B43" t="str">
            <v>C</v>
          </cell>
          <cell r="C43">
            <v>0</v>
          </cell>
          <cell r="D43" t="str">
            <v>OFICINA UNIVERSIDAD CATOLICA</v>
          </cell>
          <cell r="E43" t="str">
            <v>0120</v>
          </cell>
          <cell r="F43" t="str">
            <v>OFICINA MADRE</v>
          </cell>
          <cell r="G43" t="str">
            <v>0645</v>
          </cell>
          <cell r="H43" t="str">
            <v>GERENCIA TERRITORIAL CALLAO SAN MIGUEL</v>
          </cell>
        </row>
        <row r="44">
          <cell r="A44" t="str">
            <v>0121</v>
          </cell>
          <cell r="B44" t="str">
            <v>D</v>
          </cell>
          <cell r="C44">
            <v>0</v>
          </cell>
          <cell r="D44" t="str">
            <v>OFICINA CLUB REGATAS LIMA</v>
          </cell>
          <cell r="E44" t="str">
            <v>0121</v>
          </cell>
          <cell r="F44" t="str">
            <v>OFICINA MADRE</v>
          </cell>
          <cell r="G44" t="str">
            <v>0630</v>
          </cell>
          <cell r="H44" t="str">
            <v>GERENCIA TERRITORIAL LIMA SUR</v>
          </cell>
        </row>
        <row r="45">
          <cell r="A45" t="str">
            <v>0122</v>
          </cell>
          <cell r="B45" t="str">
            <v>B</v>
          </cell>
          <cell r="C45">
            <v>0</v>
          </cell>
          <cell r="D45" t="str">
            <v>OFICINA MAGDALENA</v>
          </cell>
          <cell r="E45" t="str">
            <v>0122</v>
          </cell>
          <cell r="F45" t="str">
            <v>OFICINA MADRE</v>
          </cell>
          <cell r="G45" t="str">
            <v>0645</v>
          </cell>
          <cell r="H45" t="str">
            <v>GERENCIA TERRITORIAL CALLAO SAN MIGUEL</v>
          </cell>
        </row>
        <row r="46">
          <cell r="A46" t="str">
            <v>0123</v>
          </cell>
          <cell r="B46" t="str">
            <v>A</v>
          </cell>
          <cell r="C46">
            <v>0</v>
          </cell>
          <cell r="D46" t="str">
            <v>OFICINA CAMINO REAL</v>
          </cell>
          <cell r="E46" t="str">
            <v>0123</v>
          </cell>
          <cell r="F46" t="str">
            <v>OFICINA MADRE</v>
          </cell>
          <cell r="G46" t="str">
            <v>0734</v>
          </cell>
          <cell r="H46" t="str">
            <v>GERENCIA TERRITORIAL LIMA RESIDENCIAL</v>
          </cell>
        </row>
        <row r="47">
          <cell r="A47" t="str">
            <v>0124</v>
          </cell>
          <cell r="B47" t="str">
            <v>E</v>
          </cell>
          <cell r="C47">
            <v>0</v>
          </cell>
          <cell r="D47" t="str">
            <v>OFICINA PARINACOCHAS</v>
          </cell>
          <cell r="E47" t="str">
            <v>0124</v>
          </cell>
          <cell r="F47" t="str">
            <v>OFICINA MADRE</v>
          </cell>
          <cell r="G47" t="str">
            <v>0736</v>
          </cell>
          <cell r="H47" t="str">
            <v>GERENCIA TERRITORIAL LIMA CENTRO</v>
          </cell>
        </row>
        <row r="48">
          <cell r="A48" t="str">
            <v>0125</v>
          </cell>
          <cell r="B48" t="str">
            <v>D</v>
          </cell>
          <cell r="C48">
            <v>0</v>
          </cell>
          <cell r="D48" t="str">
            <v>OFICINA CHORRILLOS</v>
          </cell>
          <cell r="E48" t="str">
            <v>0125</v>
          </cell>
          <cell r="F48" t="str">
            <v>OFICINA MADRE</v>
          </cell>
          <cell r="G48" t="str">
            <v>0630</v>
          </cell>
          <cell r="H48" t="str">
            <v>GERENCIA TERRITORIAL LIMA SUR</v>
          </cell>
        </row>
        <row r="49">
          <cell r="A49" t="str">
            <v>0126</v>
          </cell>
          <cell r="B49" t="str">
            <v>D</v>
          </cell>
          <cell r="C49">
            <v>0</v>
          </cell>
          <cell r="D49" t="str">
            <v>OFICINA LA COLMENA</v>
          </cell>
          <cell r="E49" t="str">
            <v>0126</v>
          </cell>
          <cell r="F49" t="str">
            <v>OFICINA MADRE</v>
          </cell>
          <cell r="G49" t="str">
            <v>0736</v>
          </cell>
          <cell r="H49" t="str">
            <v>GERENCIA TERRITORIAL LIMA CENTRO</v>
          </cell>
        </row>
        <row r="50">
          <cell r="A50" t="str">
            <v>0127</v>
          </cell>
          <cell r="B50" t="str">
            <v>D</v>
          </cell>
          <cell r="C50">
            <v>0</v>
          </cell>
          <cell r="D50" t="str">
            <v>OFICINA MINKA</v>
          </cell>
          <cell r="E50" t="str">
            <v>0127</v>
          </cell>
          <cell r="F50" t="str">
            <v>OFICINA MADRE</v>
          </cell>
          <cell r="G50" t="str">
            <v>0645</v>
          </cell>
          <cell r="H50" t="str">
            <v>GERENCIA TERRITORIAL CALLAO SAN MIGUEL</v>
          </cell>
        </row>
        <row r="51">
          <cell r="A51" t="str">
            <v>0128</v>
          </cell>
          <cell r="B51" t="str">
            <v>D</v>
          </cell>
          <cell r="C51">
            <v>0</v>
          </cell>
          <cell r="D51" t="str">
            <v>OFICINA LAS FLORES</v>
          </cell>
          <cell r="E51" t="str">
            <v>0128</v>
          </cell>
          <cell r="F51" t="str">
            <v>OFICINA MADRE</v>
          </cell>
          <cell r="G51">
            <v>3133</v>
          </cell>
          <cell r="H51" t="str">
            <v>GERENCIA TERRITORIAL SURCO LA MOLINA</v>
          </cell>
        </row>
        <row r="52">
          <cell r="A52" t="str">
            <v>0129</v>
          </cell>
          <cell r="B52" t="str">
            <v>D</v>
          </cell>
          <cell r="C52">
            <v>0</v>
          </cell>
          <cell r="D52" t="str">
            <v>OFICINA VITARTE</v>
          </cell>
          <cell r="E52" t="str">
            <v>0129</v>
          </cell>
          <cell r="F52" t="str">
            <v>OFICINA MADRE</v>
          </cell>
          <cell r="G52" t="str">
            <v>0630</v>
          </cell>
          <cell r="H52" t="str">
            <v>GERENCIA TERRITORIAL LIMA SUR</v>
          </cell>
        </row>
        <row r="53">
          <cell r="A53" t="str">
            <v>0130</v>
          </cell>
          <cell r="B53" t="str">
            <v>A</v>
          </cell>
          <cell r="C53">
            <v>0</v>
          </cell>
          <cell r="D53" t="str">
            <v>OFICINA LIMA</v>
          </cell>
          <cell r="E53" t="str">
            <v>0130</v>
          </cell>
          <cell r="F53" t="str">
            <v>OFICINA MADRE</v>
          </cell>
          <cell r="G53" t="str">
            <v>0736</v>
          </cell>
          <cell r="H53" t="str">
            <v>GERENCIA TERRITORIAL LIMA CENTRO</v>
          </cell>
        </row>
        <row r="54">
          <cell r="A54" t="str">
            <v>0131</v>
          </cell>
          <cell r="B54" t="str">
            <v>C</v>
          </cell>
          <cell r="C54">
            <v>0</v>
          </cell>
          <cell r="D54" t="str">
            <v>OFICINA NICOLAS ARRIOLA 1</v>
          </cell>
          <cell r="E54" t="str">
            <v>0131</v>
          </cell>
          <cell r="F54" t="str">
            <v>OFICINA MADRE</v>
          </cell>
          <cell r="G54" t="str">
            <v>0736</v>
          </cell>
          <cell r="H54" t="str">
            <v>GERENCIA TERRITORIAL LIMA CENTRO</v>
          </cell>
        </row>
        <row r="55">
          <cell r="A55" t="str">
            <v>0132</v>
          </cell>
          <cell r="B55" t="str">
            <v>D</v>
          </cell>
          <cell r="C55">
            <v>0</v>
          </cell>
          <cell r="D55" t="str">
            <v>OFICINA VENEZUELA 2</v>
          </cell>
          <cell r="E55" t="str">
            <v>0132</v>
          </cell>
          <cell r="F55" t="str">
            <v>OFICINA MADRE</v>
          </cell>
          <cell r="G55" t="str">
            <v>0736</v>
          </cell>
          <cell r="H55" t="str">
            <v>GERENCIA TERRITORIAL LIMA CENTRO</v>
          </cell>
        </row>
        <row r="56">
          <cell r="A56" t="str">
            <v>0133</v>
          </cell>
          <cell r="B56" t="str">
            <v>E</v>
          </cell>
          <cell r="C56">
            <v>0</v>
          </cell>
          <cell r="D56" t="str">
            <v>OFICINA VILLA MARIA DEL TRIUNFO</v>
          </cell>
          <cell r="E56" t="str">
            <v>0133</v>
          </cell>
          <cell r="F56" t="str">
            <v>OFICINA MADRE</v>
          </cell>
          <cell r="G56" t="str">
            <v>0630</v>
          </cell>
          <cell r="H56" t="str">
            <v>GERENCIA TERRITORIAL LIMA SUR</v>
          </cell>
        </row>
        <row r="57">
          <cell r="A57" t="str">
            <v>0135</v>
          </cell>
          <cell r="B57" t="str">
            <v>D</v>
          </cell>
          <cell r="C57">
            <v>0</v>
          </cell>
          <cell r="D57" t="str">
            <v>OFICINA SAN JUAN DE MIRAFLORES</v>
          </cell>
          <cell r="E57" t="str">
            <v>0135</v>
          </cell>
          <cell r="F57" t="str">
            <v>OFICINA MADRE</v>
          </cell>
          <cell r="G57" t="str">
            <v>0630</v>
          </cell>
          <cell r="H57" t="str">
            <v>GERENCIA TERRITORIAL LIMA SUR</v>
          </cell>
        </row>
        <row r="58">
          <cell r="A58" t="str">
            <v>0136</v>
          </cell>
          <cell r="B58" t="str">
            <v>D</v>
          </cell>
          <cell r="C58">
            <v>0</v>
          </cell>
          <cell r="D58" t="str">
            <v>OFICINA SALAMANCA</v>
          </cell>
          <cell r="E58" t="str">
            <v>0136</v>
          </cell>
          <cell r="F58" t="str">
            <v>OFICINA MADRE</v>
          </cell>
          <cell r="G58" t="str">
            <v>0734</v>
          </cell>
          <cell r="H58" t="str">
            <v>GERENCIA TERRITORIAL LIMA RESIDENCIAL</v>
          </cell>
        </row>
        <row r="59">
          <cell r="A59" t="str">
            <v>0137</v>
          </cell>
          <cell r="B59" t="str">
            <v>C</v>
          </cell>
          <cell r="C59">
            <v>0</v>
          </cell>
          <cell r="D59" t="str">
            <v>OFICINA VILLA MARINA</v>
          </cell>
          <cell r="E59" t="str">
            <v>0137</v>
          </cell>
          <cell r="F59" t="str">
            <v>OFICINA MADRE</v>
          </cell>
          <cell r="G59" t="str">
            <v>0630</v>
          </cell>
          <cell r="H59" t="str">
            <v>GERENCIA TERRITORIAL LIMA SUR</v>
          </cell>
        </row>
        <row r="60">
          <cell r="A60" t="str">
            <v>0138</v>
          </cell>
          <cell r="B60" t="str">
            <v>A</v>
          </cell>
          <cell r="C60">
            <v>0</v>
          </cell>
          <cell r="D60" t="str">
            <v>OFICINA C.C. AURORA</v>
          </cell>
          <cell r="E60" t="str">
            <v>0138</v>
          </cell>
          <cell r="F60" t="str">
            <v>OFICINA MADRE</v>
          </cell>
          <cell r="G60" t="str">
            <v>0737</v>
          </cell>
          <cell r="H60" t="str">
            <v>GERENCIA TERRITORIAL MIRAFLORES SAN BORJA</v>
          </cell>
        </row>
        <row r="61">
          <cell r="A61" t="str">
            <v>0139</v>
          </cell>
          <cell r="B61" t="str">
            <v>C</v>
          </cell>
          <cell r="C61">
            <v>0</v>
          </cell>
          <cell r="D61" t="str">
            <v>OFICINA ZARATE</v>
          </cell>
          <cell r="E61" t="str">
            <v>0139</v>
          </cell>
          <cell r="F61" t="str">
            <v>OFICINA MADRE</v>
          </cell>
          <cell r="G61">
            <v>3133</v>
          </cell>
          <cell r="H61" t="str">
            <v>GERENCIA TERRITORIAL SURCO LA MOLINA</v>
          </cell>
        </row>
        <row r="62">
          <cell r="A62" t="str">
            <v>0140</v>
          </cell>
          <cell r="B62" t="str">
            <v>C</v>
          </cell>
          <cell r="C62">
            <v>0</v>
          </cell>
          <cell r="D62" t="str">
            <v>OFICINA JESUS MARIA</v>
          </cell>
          <cell r="E62" t="str">
            <v>0140</v>
          </cell>
          <cell r="F62" t="str">
            <v>OFICINA MADRE</v>
          </cell>
          <cell r="G62" t="str">
            <v>0674</v>
          </cell>
          <cell r="H62" t="str">
            <v>GERENCIA TERRITORIAL LINCE</v>
          </cell>
        </row>
        <row r="63">
          <cell r="A63" t="str">
            <v>0141</v>
          </cell>
          <cell r="B63" t="str">
            <v>E</v>
          </cell>
          <cell r="C63">
            <v>0</v>
          </cell>
          <cell r="D63" t="str">
            <v>OFICINA AV. PERU</v>
          </cell>
          <cell r="E63" t="str">
            <v>0141</v>
          </cell>
          <cell r="F63" t="str">
            <v>OFICINA MADRE</v>
          </cell>
          <cell r="G63" t="str">
            <v>0674</v>
          </cell>
          <cell r="H63" t="str">
            <v>GERENCIA TERRITORIAL LINCE</v>
          </cell>
        </row>
        <row r="64">
          <cell r="A64" t="str">
            <v>0142</v>
          </cell>
          <cell r="B64" t="str">
            <v>A</v>
          </cell>
          <cell r="C64">
            <v>0</v>
          </cell>
          <cell r="D64" t="str">
            <v>OFICINA C.C. SAN ISIDRO</v>
          </cell>
          <cell r="E64" t="str">
            <v>0142</v>
          </cell>
          <cell r="F64" t="str">
            <v>OFICINA MADRE</v>
          </cell>
          <cell r="G64" t="str">
            <v>0734</v>
          </cell>
          <cell r="H64" t="str">
            <v>GERENCIA TERRITORIAL LIMA RESIDENCIAL</v>
          </cell>
        </row>
        <row r="65">
          <cell r="A65" t="str">
            <v>0143</v>
          </cell>
          <cell r="B65" t="str">
            <v>E</v>
          </cell>
          <cell r="C65">
            <v>0</v>
          </cell>
          <cell r="D65" t="str">
            <v>OFICINA V.A. BELAUNDE</v>
          </cell>
          <cell r="E65" t="str">
            <v>0143</v>
          </cell>
          <cell r="F65" t="str">
            <v>OFICINA MADRE</v>
          </cell>
          <cell r="G65" t="str">
            <v>0645</v>
          </cell>
          <cell r="H65" t="str">
            <v>GERENCIA TERRITORIAL CALLAO SAN MIGUEL</v>
          </cell>
        </row>
        <row r="66">
          <cell r="A66" t="str">
            <v>0144</v>
          </cell>
          <cell r="B66" t="str">
            <v>A</v>
          </cell>
          <cell r="C66">
            <v>0</v>
          </cell>
          <cell r="D66" t="str">
            <v>OFICINA GAMARRA</v>
          </cell>
          <cell r="E66" t="str">
            <v>0144</v>
          </cell>
          <cell r="F66" t="str">
            <v>OFICINA MADRE</v>
          </cell>
          <cell r="G66" t="str">
            <v>0736</v>
          </cell>
          <cell r="H66" t="str">
            <v>GERENCIA TERRITORIAL LIMA CENTRO</v>
          </cell>
        </row>
        <row r="67">
          <cell r="A67" t="str">
            <v>0145</v>
          </cell>
          <cell r="B67" t="str">
            <v>B</v>
          </cell>
          <cell r="C67">
            <v>0</v>
          </cell>
          <cell r="D67" t="str">
            <v>OFICINA RINCONADA</v>
          </cell>
          <cell r="E67" t="str">
            <v>0145</v>
          </cell>
          <cell r="F67" t="str">
            <v>OFICINA MADRE</v>
          </cell>
          <cell r="G67">
            <v>3133</v>
          </cell>
          <cell r="H67" t="str">
            <v>GERENCIA TERRITORIAL SURCO LA MOLINA</v>
          </cell>
        </row>
        <row r="68">
          <cell r="A68" t="str">
            <v>0146</v>
          </cell>
          <cell r="B68" t="str">
            <v>E</v>
          </cell>
          <cell r="C68">
            <v>0</v>
          </cell>
          <cell r="D68" t="str">
            <v>OFICINA CERES</v>
          </cell>
          <cell r="E68" t="str">
            <v>0146</v>
          </cell>
          <cell r="F68" t="str">
            <v>OFICINA MADRE</v>
          </cell>
          <cell r="G68" t="str">
            <v>0630</v>
          </cell>
          <cell r="H68" t="str">
            <v>GERENCIA TERRITORIAL LIMA SUR</v>
          </cell>
        </row>
        <row r="69">
          <cell r="A69" t="str">
            <v>0147</v>
          </cell>
          <cell r="B69" t="str">
            <v>B</v>
          </cell>
          <cell r="C69">
            <v>0</v>
          </cell>
          <cell r="D69" t="str">
            <v>OFICINA ARENALES</v>
          </cell>
          <cell r="E69" t="str">
            <v>0147</v>
          </cell>
          <cell r="F69" t="str">
            <v>OFICINA MADRE</v>
          </cell>
          <cell r="G69" t="str">
            <v>0736</v>
          </cell>
          <cell r="H69" t="str">
            <v>GERENCIA TERRITORIAL LIMA CENTRO</v>
          </cell>
        </row>
        <row r="70">
          <cell r="A70" t="str">
            <v>0148</v>
          </cell>
          <cell r="B70" t="str">
            <v>B</v>
          </cell>
          <cell r="C70">
            <v>0</v>
          </cell>
          <cell r="D70" t="str">
            <v>OFICINA C.C. SUCRE</v>
          </cell>
          <cell r="E70" t="str">
            <v>0148</v>
          </cell>
          <cell r="F70" t="str">
            <v>OFICINA MADRE</v>
          </cell>
          <cell r="G70" t="str">
            <v>0674</v>
          </cell>
          <cell r="H70" t="str">
            <v>GERENCIA TERRITORIAL LINCE</v>
          </cell>
        </row>
        <row r="71">
          <cell r="A71" t="str">
            <v>0149</v>
          </cell>
          <cell r="B71" t="str">
            <v>D</v>
          </cell>
          <cell r="C71">
            <v>0</v>
          </cell>
          <cell r="D71" t="str">
            <v>OFICINA SURQUILLO</v>
          </cell>
          <cell r="E71" t="str">
            <v>0149</v>
          </cell>
          <cell r="F71" t="str">
            <v>OFICINA MADRE</v>
          </cell>
          <cell r="G71" t="str">
            <v>0737</v>
          </cell>
          <cell r="H71" t="str">
            <v>GERENCIA TERRITORIAL MIRAFLORES SAN BORJA</v>
          </cell>
        </row>
        <row r="72">
          <cell r="A72" t="str">
            <v>0150</v>
          </cell>
          <cell r="B72" t="str">
            <v>B</v>
          </cell>
          <cell r="C72">
            <v>0</v>
          </cell>
          <cell r="D72" t="str">
            <v>OFICINA C.C. HIGUERETA</v>
          </cell>
          <cell r="E72" t="str">
            <v>0150</v>
          </cell>
          <cell r="F72" t="str">
            <v>OFICINA MADRE</v>
          </cell>
          <cell r="G72">
            <v>3133</v>
          </cell>
          <cell r="H72" t="str">
            <v>GERENCIA TERRITORIAL SURCO LA MOLINA</v>
          </cell>
        </row>
        <row r="73">
          <cell r="A73" t="str">
            <v>0151</v>
          </cell>
          <cell r="B73" t="str">
            <v>C</v>
          </cell>
          <cell r="C73">
            <v>0</v>
          </cell>
          <cell r="D73" t="str">
            <v>OFICINA MARANGA</v>
          </cell>
          <cell r="E73" t="str">
            <v>0151</v>
          </cell>
          <cell r="F73" t="str">
            <v>OFICINA MADRE</v>
          </cell>
          <cell r="G73" t="str">
            <v>0645</v>
          </cell>
          <cell r="H73" t="str">
            <v>GERENCIA TERRITORIAL CALLAO SAN MIGUEL</v>
          </cell>
        </row>
        <row r="74">
          <cell r="A74" t="str">
            <v>0152</v>
          </cell>
          <cell r="B74" t="str">
            <v>A</v>
          </cell>
          <cell r="C74">
            <v>0</v>
          </cell>
          <cell r="D74" t="str">
            <v>OFICINA SAN BORJA</v>
          </cell>
          <cell r="E74" t="str">
            <v>0152</v>
          </cell>
          <cell r="F74" t="str">
            <v>OFICINA MADRE</v>
          </cell>
          <cell r="G74" t="str">
            <v>0737</v>
          </cell>
          <cell r="H74" t="str">
            <v>GERENCIA TERRITORIAL MIRAFLORES SAN BORJA</v>
          </cell>
        </row>
        <row r="75">
          <cell r="A75" t="str">
            <v>0153</v>
          </cell>
          <cell r="B75" t="str">
            <v>B</v>
          </cell>
          <cell r="C75">
            <v>0</v>
          </cell>
          <cell r="D75" t="str">
            <v>OFICINA C.C. RISSO</v>
          </cell>
          <cell r="E75" t="str">
            <v>0153</v>
          </cell>
          <cell r="F75" t="str">
            <v>OFICINA MADRE</v>
          </cell>
          <cell r="G75" t="str">
            <v>0674</v>
          </cell>
          <cell r="H75" t="str">
            <v>GERENCIA TERRITORIAL LINCE</v>
          </cell>
        </row>
        <row r="76">
          <cell r="A76" t="str">
            <v>0155</v>
          </cell>
          <cell r="B76" t="str">
            <v>E</v>
          </cell>
          <cell r="C76">
            <v>0</v>
          </cell>
          <cell r="D76" t="str">
            <v>OFICINA NICOLAS AYLLON</v>
          </cell>
          <cell r="E76" t="str">
            <v>0155</v>
          </cell>
          <cell r="F76" t="str">
            <v>OFICINA MADRE</v>
          </cell>
          <cell r="G76" t="str">
            <v>0734</v>
          </cell>
          <cell r="H76" t="str">
            <v>GERENCIA TERRITORIAL LIMA RESIDENCIAL</v>
          </cell>
        </row>
        <row r="77">
          <cell r="A77" t="str">
            <v>0156</v>
          </cell>
          <cell r="B77" t="str">
            <v>C</v>
          </cell>
          <cell r="C77">
            <v>0</v>
          </cell>
          <cell r="D77" t="str">
            <v>OFICINA PARDO</v>
          </cell>
          <cell r="E77" t="str">
            <v>0156</v>
          </cell>
          <cell r="F77" t="str">
            <v>OFICINA MADRE</v>
          </cell>
          <cell r="G77" t="str">
            <v>0737</v>
          </cell>
          <cell r="H77" t="str">
            <v>GERENCIA TERRITORIAL MIRAFLORES SAN BORJA</v>
          </cell>
        </row>
        <row r="78">
          <cell r="A78" t="str">
            <v>0157</v>
          </cell>
          <cell r="B78" t="str">
            <v>C</v>
          </cell>
          <cell r="C78">
            <v>0</v>
          </cell>
          <cell r="D78" t="str">
            <v>OFICINA C.C. LAS GARDENIAS</v>
          </cell>
          <cell r="E78" t="str">
            <v>0157</v>
          </cell>
          <cell r="F78" t="str">
            <v>OFICINA MADRE</v>
          </cell>
          <cell r="G78" t="str">
            <v>0630</v>
          </cell>
          <cell r="H78" t="str">
            <v>GERENCIA TERRITORIAL LIMA SUR</v>
          </cell>
        </row>
        <row r="79">
          <cell r="A79" t="str">
            <v>0160</v>
          </cell>
          <cell r="B79" t="str">
            <v>B</v>
          </cell>
          <cell r="C79">
            <v>0</v>
          </cell>
          <cell r="D79" t="str">
            <v>OFICINA C.C. MONTERRICO</v>
          </cell>
          <cell r="E79" t="str">
            <v>0160</v>
          </cell>
          <cell r="F79" t="str">
            <v>OFICINA MADRE</v>
          </cell>
          <cell r="G79">
            <v>3133</v>
          </cell>
          <cell r="H79" t="str">
            <v>GERENCIA TERRITORIAL SURCO LA MOLINA</v>
          </cell>
        </row>
        <row r="80">
          <cell r="A80" t="str">
            <v>0161</v>
          </cell>
          <cell r="B80" t="str">
            <v>E</v>
          </cell>
          <cell r="C80">
            <v>0</v>
          </cell>
          <cell r="D80" t="str">
            <v>OFICINA LINCE</v>
          </cell>
          <cell r="E80" t="str">
            <v>0161</v>
          </cell>
          <cell r="F80" t="str">
            <v>OFICINA MADRE</v>
          </cell>
          <cell r="G80" t="str">
            <v>0674</v>
          </cell>
          <cell r="H80" t="str">
            <v>GERENCIA TERRITORIAL LINCE</v>
          </cell>
        </row>
        <row r="81">
          <cell r="A81" t="str">
            <v>0162</v>
          </cell>
          <cell r="B81" t="str">
            <v>C</v>
          </cell>
          <cell r="C81">
            <v>0</v>
          </cell>
          <cell r="D81" t="str">
            <v>OFICINA AEROPUERTO</v>
          </cell>
          <cell r="E81" t="str">
            <v>0162</v>
          </cell>
          <cell r="F81" t="str">
            <v>OFICINA MADRE</v>
          </cell>
          <cell r="G81" t="str">
            <v>0645</v>
          </cell>
          <cell r="H81" t="str">
            <v>GERENCIA TERRITORIAL CALLAO SAN MIGUEL</v>
          </cell>
        </row>
        <row r="82">
          <cell r="A82" t="str">
            <v>0163</v>
          </cell>
          <cell r="B82" t="str">
            <v>C</v>
          </cell>
          <cell r="C82">
            <v>0</v>
          </cell>
          <cell r="D82" t="str">
            <v>OFICINA APOLO</v>
          </cell>
          <cell r="E82" t="str">
            <v>0163</v>
          </cell>
          <cell r="F82" t="str">
            <v>OFICINA MADRE</v>
          </cell>
          <cell r="G82" t="str">
            <v>0736</v>
          </cell>
          <cell r="H82" t="str">
            <v>GERENCIA TERRITORIAL LIMA CENTRO</v>
          </cell>
        </row>
        <row r="83">
          <cell r="A83" t="str">
            <v>0164</v>
          </cell>
          <cell r="B83" t="str">
            <v>C</v>
          </cell>
          <cell r="C83">
            <v>0</v>
          </cell>
          <cell r="D83" t="str">
            <v>OFICINA VENEZUELA 3</v>
          </cell>
          <cell r="E83" t="str">
            <v>0164</v>
          </cell>
          <cell r="F83" t="str">
            <v>OFICINA MADRE</v>
          </cell>
          <cell r="G83" t="str">
            <v>0736</v>
          </cell>
          <cell r="H83" t="str">
            <v>GERENCIA TERRITORIAL LIMA CENTRO</v>
          </cell>
        </row>
        <row r="84">
          <cell r="A84" t="str">
            <v>0165</v>
          </cell>
          <cell r="B84" t="str">
            <v>E</v>
          </cell>
          <cell r="C84">
            <v>0</v>
          </cell>
          <cell r="D84" t="str">
            <v>OFICINA BASE NAVAL</v>
          </cell>
          <cell r="E84" t="str">
            <v>0165</v>
          </cell>
          <cell r="F84" t="str">
            <v>OFICINA MADRE</v>
          </cell>
          <cell r="G84" t="str">
            <v>0645</v>
          </cell>
          <cell r="H84" t="str">
            <v>GERENCIA TERRITORIAL CALLAO SAN MIGUEL</v>
          </cell>
        </row>
        <row r="85">
          <cell r="A85" t="str">
            <v>0166</v>
          </cell>
          <cell r="B85" t="str">
            <v>C</v>
          </cell>
          <cell r="C85">
            <v>0</v>
          </cell>
          <cell r="D85" t="str">
            <v>OFICINA COLONIAL</v>
          </cell>
          <cell r="E85" t="str">
            <v>0166</v>
          </cell>
          <cell r="F85" t="str">
            <v>OFICINA MADRE</v>
          </cell>
          <cell r="G85" t="str">
            <v>0645</v>
          </cell>
          <cell r="H85" t="str">
            <v>GERENCIA TERRITORIAL CALLAO SAN MIGUEL</v>
          </cell>
        </row>
        <row r="86">
          <cell r="A86" t="str">
            <v>0167</v>
          </cell>
          <cell r="B86" t="str">
            <v>E</v>
          </cell>
          <cell r="C86">
            <v>0</v>
          </cell>
          <cell r="D86" t="str">
            <v>OFICINA PLAZA BOLOGNESI</v>
          </cell>
          <cell r="E86" t="str">
            <v>0167</v>
          </cell>
          <cell r="F86" t="str">
            <v>OFICINA MADRE</v>
          </cell>
          <cell r="G86" t="str">
            <v>0736</v>
          </cell>
          <cell r="H86" t="str">
            <v>GERENCIA TERRITORIAL LIMA CENTRO</v>
          </cell>
        </row>
        <row r="87">
          <cell r="A87" t="str">
            <v>0168</v>
          </cell>
          <cell r="B87" t="str">
            <v>E</v>
          </cell>
          <cell r="C87">
            <v>0</v>
          </cell>
          <cell r="D87" t="str">
            <v>OFICINA REPSOL</v>
          </cell>
          <cell r="E87" t="str">
            <v>0168</v>
          </cell>
          <cell r="F87" t="str">
            <v>OFICINA MADRE</v>
          </cell>
          <cell r="G87" t="str">
            <v>0645</v>
          </cell>
          <cell r="H87" t="str">
            <v>GERENCIA TERRITORIAL CALLAO SAN MIGUEL</v>
          </cell>
        </row>
        <row r="88">
          <cell r="A88" t="str">
            <v>0169</v>
          </cell>
          <cell r="B88" t="str">
            <v>C</v>
          </cell>
          <cell r="C88">
            <v>0</v>
          </cell>
          <cell r="D88" t="str">
            <v>OFICINA COMANDANTE ESPINAR</v>
          </cell>
          <cell r="E88" t="str">
            <v>0169</v>
          </cell>
          <cell r="F88" t="str">
            <v>OFICINA MADRE</v>
          </cell>
          <cell r="G88" t="str">
            <v>0737</v>
          </cell>
          <cell r="H88" t="str">
            <v>GERENCIA TERRITORIAL MIRAFLORES SAN BORJA</v>
          </cell>
        </row>
        <row r="89">
          <cell r="A89" t="str">
            <v>0170</v>
          </cell>
          <cell r="B89" t="str">
            <v>C</v>
          </cell>
          <cell r="C89">
            <v>0</v>
          </cell>
          <cell r="D89" t="str">
            <v>OFICINA AV. SUCRE</v>
          </cell>
          <cell r="E89" t="str">
            <v>0170</v>
          </cell>
          <cell r="F89" t="str">
            <v>OFICINA MADRE</v>
          </cell>
          <cell r="G89" t="str">
            <v>0674</v>
          </cell>
          <cell r="H89" t="str">
            <v>GERENCIA TERRITORIAL LINCE</v>
          </cell>
        </row>
        <row r="90">
          <cell r="A90" t="str">
            <v>0171</v>
          </cell>
          <cell r="B90" t="str">
            <v>C</v>
          </cell>
          <cell r="C90">
            <v>0</v>
          </cell>
          <cell r="D90" t="str">
            <v>OFICINA LOS ROSALES</v>
          </cell>
          <cell r="E90" t="str">
            <v>0171</v>
          </cell>
          <cell r="F90" t="str">
            <v>OFICINA MADRE</v>
          </cell>
          <cell r="G90">
            <v>3133</v>
          </cell>
          <cell r="H90" t="str">
            <v>GERENCIA TERRITORIAL SURCO LA MOLINA</v>
          </cell>
        </row>
        <row r="91">
          <cell r="A91" t="str">
            <v>0172</v>
          </cell>
          <cell r="B91" t="str">
            <v>D</v>
          </cell>
          <cell r="C91">
            <v>0</v>
          </cell>
          <cell r="D91" t="str">
            <v>OFICINA FIORI</v>
          </cell>
          <cell r="E91" t="str">
            <v>0172</v>
          </cell>
          <cell r="F91" t="str">
            <v>OFICINA MADRE</v>
          </cell>
          <cell r="G91" t="str">
            <v>0674</v>
          </cell>
          <cell r="H91" t="str">
            <v>GERENCIA TERRITORIAL LINCE</v>
          </cell>
        </row>
        <row r="92">
          <cell r="A92" t="str">
            <v>0174</v>
          </cell>
          <cell r="B92" t="str">
            <v>B</v>
          </cell>
          <cell r="C92">
            <v>0</v>
          </cell>
          <cell r="D92" t="str">
            <v>OFICINA MEGA PLAZA</v>
          </cell>
          <cell r="E92" t="str">
            <v>0174</v>
          </cell>
          <cell r="F92" t="str">
            <v>OFICINA MADRE</v>
          </cell>
          <cell r="G92" t="str">
            <v>0734</v>
          </cell>
          <cell r="H92" t="str">
            <v>GERENCIA TERRITORIAL LIMA RESIDENCIAL</v>
          </cell>
        </row>
        <row r="93">
          <cell r="A93" t="str">
            <v>0175</v>
          </cell>
          <cell r="B93" t="str">
            <v>C</v>
          </cell>
          <cell r="C93">
            <v>0</v>
          </cell>
          <cell r="D93" t="str">
            <v>OFICINA REAL PLAZA CENTRO CIVICO</v>
          </cell>
          <cell r="E93" t="str">
            <v>0175</v>
          </cell>
          <cell r="F93" t="str">
            <v>OFICINA MADRE</v>
          </cell>
          <cell r="G93" t="str">
            <v>0736</v>
          </cell>
          <cell r="H93" t="str">
            <v>GERENCIA TERRITORIAL LIMA CENTRO</v>
          </cell>
        </row>
        <row r="94">
          <cell r="A94" t="str">
            <v>0176</v>
          </cell>
          <cell r="B94" t="str">
            <v>C</v>
          </cell>
          <cell r="C94">
            <v>0</v>
          </cell>
          <cell r="D94" t="str">
            <v>OFICINA EL TREBOL</v>
          </cell>
          <cell r="E94" t="str">
            <v>0176</v>
          </cell>
          <cell r="F94" t="str">
            <v>OFICINA MADRE</v>
          </cell>
          <cell r="G94" t="str">
            <v>0734</v>
          </cell>
          <cell r="H94" t="str">
            <v>GERENCIA TERRITORIAL LIMA RESIDENCIAL</v>
          </cell>
        </row>
        <row r="95">
          <cell r="A95" t="str">
            <v>0177</v>
          </cell>
          <cell r="B95" t="str">
            <v>D</v>
          </cell>
          <cell r="C95">
            <v>0</v>
          </cell>
          <cell r="D95" t="str">
            <v>OFICINA SAMUEL ALCAZAR</v>
          </cell>
          <cell r="E95" t="str">
            <v>0177</v>
          </cell>
          <cell r="F95" t="str">
            <v>OFICINA MADRE</v>
          </cell>
          <cell r="G95" t="str">
            <v>0737</v>
          </cell>
          <cell r="H95" t="str">
            <v>GERENCIA TERRITORIAL MIRAFLORES SAN BORJA</v>
          </cell>
        </row>
        <row r="96">
          <cell r="A96" t="str">
            <v>0178</v>
          </cell>
          <cell r="B96" t="str">
            <v>A</v>
          </cell>
          <cell r="C96">
            <v>0</v>
          </cell>
          <cell r="D96" t="str">
            <v>OFICINA CAMACHO</v>
          </cell>
          <cell r="E96" t="str">
            <v>0178</v>
          </cell>
          <cell r="F96" t="str">
            <v>OFICINA MADRE</v>
          </cell>
          <cell r="G96">
            <v>3133</v>
          </cell>
          <cell r="H96" t="str">
            <v>GERENCIA TERRITORIAL SURCO LA MOLINA</v>
          </cell>
        </row>
        <row r="97">
          <cell r="A97" t="str">
            <v>0179</v>
          </cell>
          <cell r="B97" t="str">
            <v>B</v>
          </cell>
          <cell r="C97">
            <v>0</v>
          </cell>
          <cell r="D97" t="str">
            <v>OFICINA CAVENECIA</v>
          </cell>
          <cell r="E97" t="str">
            <v>0179</v>
          </cell>
          <cell r="F97" t="str">
            <v>OFICINA MADRE</v>
          </cell>
          <cell r="G97" t="str">
            <v>0734</v>
          </cell>
          <cell r="H97" t="str">
            <v>GERENCIA TERRITORIAL LIMA RESIDENCIAL</v>
          </cell>
        </row>
        <row r="98">
          <cell r="A98" t="str">
            <v>0180</v>
          </cell>
          <cell r="B98" t="str">
            <v>B</v>
          </cell>
          <cell r="C98">
            <v>0</v>
          </cell>
          <cell r="D98" t="str">
            <v>OFICINA PARQUE CASTILLA</v>
          </cell>
          <cell r="E98" t="str">
            <v>0180</v>
          </cell>
          <cell r="F98" t="str">
            <v>OFICINA MADRE</v>
          </cell>
          <cell r="G98" t="str">
            <v>0674</v>
          </cell>
          <cell r="H98" t="str">
            <v>GERENCIA TERRITORIAL LINCE</v>
          </cell>
        </row>
        <row r="99">
          <cell r="A99" t="str">
            <v>0181</v>
          </cell>
          <cell r="B99" t="str">
            <v>D</v>
          </cell>
          <cell r="C99">
            <v>0</v>
          </cell>
          <cell r="D99" t="str">
            <v>OFICINA REPUBLICA DE PANAMA</v>
          </cell>
          <cell r="E99" t="str">
            <v>0181</v>
          </cell>
          <cell r="F99" t="str">
            <v>OFICINA MADRE</v>
          </cell>
          <cell r="G99" t="str">
            <v>0737</v>
          </cell>
          <cell r="H99" t="str">
            <v>GERENCIA TERRITORIAL MIRAFLORES SAN BORJA</v>
          </cell>
        </row>
        <row r="100">
          <cell r="A100" t="str">
            <v>0182</v>
          </cell>
          <cell r="B100" t="str">
            <v>B</v>
          </cell>
          <cell r="C100">
            <v>0</v>
          </cell>
          <cell r="D100" t="str">
            <v>OFICINA SANTA MONICA</v>
          </cell>
          <cell r="E100" t="str">
            <v>0182</v>
          </cell>
          <cell r="F100" t="str">
            <v>OFICINA MADRE</v>
          </cell>
          <cell r="G100" t="str">
            <v>0734</v>
          </cell>
          <cell r="H100" t="str">
            <v>GERENCIA TERRITORIAL LIMA RESIDENCIAL</v>
          </cell>
        </row>
        <row r="101">
          <cell r="A101" t="str">
            <v>0183</v>
          </cell>
          <cell r="B101" t="str">
            <v>A</v>
          </cell>
          <cell r="C101">
            <v>0</v>
          </cell>
          <cell r="D101" t="str">
            <v>OFICINA SANTA ANITA</v>
          </cell>
          <cell r="E101" t="str">
            <v>0183</v>
          </cell>
          <cell r="F101" t="str">
            <v>OFICINA MADRE</v>
          </cell>
          <cell r="G101" t="str">
            <v>0734</v>
          </cell>
          <cell r="H101" t="str">
            <v>GERENCIA TERRITORIAL LIMA RESIDENCIAL</v>
          </cell>
        </row>
        <row r="102">
          <cell r="A102" t="str">
            <v>0184</v>
          </cell>
          <cell r="B102" t="str">
            <v>B</v>
          </cell>
          <cell r="C102">
            <v>0</v>
          </cell>
          <cell r="D102" t="str">
            <v>OFICINA SAN FELIPE</v>
          </cell>
          <cell r="E102" t="str">
            <v>0184</v>
          </cell>
          <cell r="F102" t="str">
            <v>OFICINA MADRE</v>
          </cell>
          <cell r="G102" t="str">
            <v>0674</v>
          </cell>
          <cell r="H102" t="str">
            <v>GERENCIA TERRITORIAL LINCE</v>
          </cell>
        </row>
        <row r="103">
          <cell r="A103" t="str">
            <v>0185</v>
          </cell>
          <cell r="B103" t="str">
            <v>E</v>
          </cell>
          <cell r="C103">
            <v>0</v>
          </cell>
          <cell r="D103" t="str">
            <v>OFICINA TOMAS MARSANO</v>
          </cell>
          <cell r="E103" t="str">
            <v>0185</v>
          </cell>
          <cell r="F103" t="str">
            <v>OFICINA MADRE</v>
          </cell>
          <cell r="G103" t="str">
            <v>0737</v>
          </cell>
          <cell r="H103" t="str">
            <v>GERENCIA TERRITORIAL MIRAFLORES SAN BORJA</v>
          </cell>
        </row>
        <row r="104">
          <cell r="A104" t="str">
            <v>0186</v>
          </cell>
          <cell r="B104" t="str">
            <v>C</v>
          </cell>
          <cell r="C104">
            <v>0</v>
          </cell>
          <cell r="D104" t="str">
            <v>OFICINA LA RAMBLA</v>
          </cell>
          <cell r="E104" t="str">
            <v>0186</v>
          </cell>
          <cell r="F104" t="str">
            <v>OFICINA MADRE</v>
          </cell>
          <cell r="G104" t="str">
            <v>0737</v>
          </cell>
          <cell r="H104" t="str">
            <v>GERENCIA TERRITORIAL MIRAFLORES SAN BORJA</v>
          </cell>
        </row>
        <row r="105">
          <cell r="A105" t="str">
            <v>0187</v>
          </cell>
          <cell r="B105" t="str">
            <v>C</v>
          </cell>
          <cell r="C105">
            <v>0</v>
          </cell>
          <cell r="D105" t="str">
            <v>OFICINA ARAMBURU</v>
          </cell>
          <cell r="E105" t="str">
            <v>0187</v>
          </cell>
          <cell r="F105" t="str">
            <v>OFICINA MADRE</v>
          </cell>
          <cell r="G105" t="str">
            <v>0737</v>
          </cell>
          <cell r="H105" t="str">
            <v>GERENCIA TERRITORIAL MIRAFLORES SAN BORJA</v>
          </cell>
        </row>
        <row r="106">
          <cell r="A106" t="str">
            <v>0188</v>
          </cell>
          <cell r="B106" t="str">
            <v>B</v>
          </cell>
          <cell r="C106">
            <v>0</v>
          </cell>
          <cell r="D106" t="str">
            <v>OFICINA CRONOS (EX ENCALADA)</v>
          </cell>
          <cell r="E106" t="str">
            <v>0188</v>
          </cell>
          <cell r="F106" t="str">
            <v>OFICINA MADRE</v>
          </cell>
          <cell r="G106">
            <v>3133</v>
          </cell>
          <cell r="H106" t="str">
            <v>GERENCIA TERRITORIAL SURCO LA MOLINA</v>
          </cell>
        </row>
        <row r="107">
          <cell r="A107" t="str">
            <v>0189</v>
          </cell>
          <cell r="B107" t="str">
            <v>B</v>
          </cell>
          <cell r="C107">
            <v>0</v>
          </cell>
          <cell r="D107" t="str">
            <v>OFICINA DOS DE MAYO</v>
          </cell>
          <cell r="E107" t="str">
            <v>0189</v>
          </cell>
          <cell r="F107" t="str">
            <v>OFICINA MADRE</v>
          </cell>
          <cell r="G107" t="str">
            <v>0674</v>
          </cell>
          <cell r="H107" t="str">
            <v>GERENCIA TERRITORIAL LINCE</v>
          </cell>
        </row>
        <row r="108">
          <cell r="A108" t="str">
            <v>0190</v>
          </cell>
          <cell r="B108" t="str">
            <v>B</v>
          </cell>
          <cell r="C108">
            <v>0</v>
          </cell>
          <cell r="D108" t="str">
            <v>OFICINA C.C. SAN MIGUEL</v>
          </cell>
          <cell r="E108" t="str">
            <v>0190</v>
          </cell>
          <cell r="F108" t="str">
            <v>OFICINA MADRE</v>
          </cell>
          <cell r="G108" t="str">
            <v>0645</v>
          </cell>
          <cell r="H108" t="str">
            <v>GERENCIA TERRITORIAL CALLAO SAN MIGUEL</v>
          </cell>
        </row>
        <row r="109">
          <cell r="A109" t="str">
            <v>0191</v>
          </cell>
          <cell r="B109" t="str">
            <v>C</v>
          </cell>
          <cell r="C109">
            <v>0</v>
          </cell>
          <cell r="D109" t="str">
            <v>OFICINA CORPAC</v>
          </cell>
          <cell r="E109" t="str">
            <v>0191</v>
          </cell>
          <cell r="F109" t="str">
            <v>OFICINA MADRE</v>
          </cell>
          <cell r="G109" t="str">
            <v>0734</v>
          </cell>
          <cell r="H109" t="str">
            <v>GERENCIA TERRITORIAL LIMA RESIDENCIAL</v>
          </cell>
        </row>
        <row r="110">
          <cell r="A110" t="str">
            <v>0192</v>
          </cell>
          <cell r="B110" t="str">
            <v>D</v>
          </cell>
          <cell r="C110">
            <v>0</v>
          </cell>
          <cell r="D110" t="str">
            <v>OFICINA BELLAVISTA</v>
          </cell>
          <cell r="E110" t="str">
            <v>0192</v>
          </cell>
          <cell r="F110" t="str">
            <v>OFICINA MADRE</v>
          </cell>
          <cell r="G110" t="str">
            <v>0645</v>
          </cell>
          <cell r="H110" t="str">
            <v>GERENCIA TERRITORIAL CALLAO SAN MIGUEL</v>
          </cell>
        </row>
        <row r="111">
          <cell r="A111" t="str">
            <v>0193</v>
          </cell>
          <cell r="B111" t="str">
            <v>D</v>
          </cell>
          <cell r="C111">
            <v>0</v>
          </cell>
          <cell r="D111" t="str">
            <v>OFICINA LA PERLA</v>
          </cell>
          <cell r="E111" t="str">
            <v>0193</v>
          </cell>
          <cell r="F111" t="str">
            <v>OFICINA MADRE</v>
          </cell>
          <cell r="G111" t="str">
            <v>0645</v>
          </cell>
          <cell r="H111" t="str">
            <v>GERENCIA TERRITORIAL CALLAO SAN MIGUEL</v>
          </cell>
        </row>
        <row r="112">
          <cell r="A112" t="str">
            <v>0194</v>
          </cell>
          <cell r="B112" t="str">
            <v>A+</v>
          </cell>
          <cell r="C112">
            <v>0</v>
          </cell>
          <cell r="D112" t="str">
            <v>OFICINA CHACARILLA</v>
          </cell>
          <cell r="E112" t="str">
            <v>0194</v>
          </cell>
          <cell r="F112" t="str">
            <v>OFICINA MADRE</v>
          </cell>
          <cell r="G112">
            <v>3133</v>
          </cell>
          <cell r="H112" t="str">
            <v>GERENCIA TERRITORIAL SURCO LA MOLINA</v>
          </cell>
        </row>
        <row r="113">
          <cell r="A113" t="str">
            <v>0195</v>
          </cell>
          <cell r="B113" t="str">
            <v>B</v>
          </cell>
          <cell r="C113">
            <v>0</v>
          </cell>
          <cell r="D113" t="str">
            <v>OFICINA CUARTEL GRAL. DEL EJERCITO</v>
          </cell>
          <cell r="E113" t="str">
            <v>0195</v>
          </cell>
          <cell r="F113" t="str">
            <v>OFICINA MADRE</v>
          </cell>
          <cell r="G113">
            <v>3133</v>
          </cell>
          <cell r="H113" t="str">
            <v>GERENCIA TERRITORIAL SURCO LA MOLINA</v>
          </cell>
        </row>
        <row r="114">
          <cell r="A114" t="str">
            <v>0196</v>
          </cell>
          <cell r="B114" t="str">
            <v>E</v>
          </cell>
          <cell r="C114">
            <v>0</v>
          </cell>
          <cell r="D114" t="str">
            <v>OFICINA SAN MARTIN DE PORRAS</v>
          </cell>
          <cell r="E114" t="str">
            <v>0196</v>
          </cell>
          <cell r="F114" t="str">
            <v>OFICINA MADRE</v>
          </cell>
          <cell r="G114" t="str">
            <v>0674</v>
          </cell>
          <cell r="H114" t="str">
            <v>GERENCIA TERRITORIAL LINCE</v>
          </cell>
        </row>
        <row r="115">
          <cell r="A115" t="str">
            <v>0197</v>
          </cell>
          <cell r="B115" t="str">
            <v>D</v>
          </cell>
          <cell r="C115">
            <v>0</v>
          </cell>
          <cell r="D115" t="str">
            <v>OFICINA NICOLAS ARRIOLA 2</v>
          </cell>
          <cell r="E115" t="str">
            <v>0197</v>
          </cell>
          <cell r="F115" t="str">
            <v>OFICINA MADRE</v>
          </cell>
          <cell r="G115" t="str">
            <v>0736</v>
          </cell>
          <cell r="H115" t="str">
            <v>GERENCIA TERRITORIAL LIMA CENTRO</v>
          </cell>
        </row>
        <row r="116">
          <cell r="A116" t="str">
            <v>0200</v>
          </cell>
          <cell r="B116" t="str">
            <v>A</v>
          </cell>
          <cell r="C116">
            <v>0</v>
          </cell>
          <cell r="D116" t="str">
            <v>OFICINA CUZCO</v>
          </cell>
          <cell r="E116" t="str">
            <v>0200</v>
          </cell>
          <cell r="F116" t="str">
            <v>OFICINA MADRE</v>
          </cell>
          <cell r="G116" t="str">
            <v>0688</v>
          </cell>
          <cell r="H116" t="str">
            <v>GERENCIA TERRITORIAL SUR</v>
          </cell>
        </row>
        <row r="117">
          <cell r="A117" t="str">
            <v>0201</v>
          </cell>
          <cell r="B117" t="str">
            <v>D</v>
          </cell>
          <cell r="C117">
            <v>0</v>
          </cell>
          <cell r="D117" t="str">
            <v>OFICINA HUANCHAC</v>
          </cell>
          <cell r="E117" t="str">
            <v>0201</v>
          </cell>
          <cell r="F117" t="str">
            <v>OFICINA MADRE</v>
          </cell>
          <cell r="G117" t="str">
            <v>0688</v>
          </cell>
          <cell r="H117" t="str">
            <v>GERENCIA TERRITORIAL SUR</v>
          </cell>
        </row>
        <row r="118">
          <cell r="A118" t="str">
            <v>0202</v>
          </cell>
          <cell r="B118" t="str">
            <v>D</v>
          </cell>
          <cell r="C118">
            <v>0</v>
          </cell>
          <cell r="D118" t="str">
            <v>OFICINA AYACUCHO</v>
          </cell>
          <cell r="E118" t="str">
            <v>0202</v>
          </cell>
          <cell r="F118" t="str">
            <v>OFICINA MADRE</v>
          </cell>
          <cell r="G118" t="str">
            <v>0665</v>
          </cell>
          <cell r="H118" t="str">
            <v>GERENCIA TERRITORIAL CENTRO</v>
          </cell>
        </row>
        <row r="119">
          <cell r="A119" t="str">
            <v>0203</v>
          </cell>
          <cell r="B119" t="str">
            <v>E</v>
          </cell>
          <cell r="C119">
            <v>0</v>
          </cell>
          <cell r="D119" t="str">
            <v>OFICINA SAN MARTIN - ICA</v>
          </cell>
          <cell r="E119" t="str">
            <v>0203</v>
          </cell>
          <cell r="F119" t="str">
            <v>OFICINA MADRE</v>
          </cell>
          <cell r="G119">
            <v>3132</v>
          </cell>
          <cell r="H119" t="str">
            <v>GERENCIA TERRITORIAL NORTE SUR CHICO</v>
          </cell>
        </row>
        <row r="120">
          <cell r="A120" t="str">
            <v>0205</v>
          </cell>
          <cell r="B120" t="str">
            <v>D</v>
          </cell>
          <cell r="C120">
            <v>0</v>
          </cell>
          <cell r="D120" t="str">
            <v>OFICINA TINTAYA</v>
          </cell>
          <cell r="E120" t="str">
            <v>0205</v>
          </cell>
          <cell r="F120" t="str">
            <v>OFICINA MADRE</v>
          </cell>
          <cell r="G120" t="str">
            <v>0688</v>
          </cell>
          <cell r="H120" t="str">
            <v>GERENCIA TERRITORIAL SUR</v>
          </cell>
        </row>
        <row r="121">
          <cell r="A121" t="str">
            <v>0210</v>
          </cell>
          <cell r="B121" t="str">
            <v>A</v>
          </cell>
          <cell r="C121">
            <v>0</v>
          </cell>
          <cell r="D121" t="str">
            <v>OFICINA HUANUCO</v>
          </cell>
          <cell r="E121" t="str">
            <v>0210</v>
          </cell>
          <cell r="F121" t="str">
            <v>OFICINA MADRE</v>
          </cell>
          <cell r="G121" t="str">
            <v>0665</v>
          </cell>
          <cell r="H121" t="str">
            <v>GERENCIA TERRITORIAL CENTRO</v>
          </cell>
        </row>
        <row r="122">
          <cell r="A122" t="str">
            <v>0211</v>
          </cell>
          <cell r="B122" t="str">
            <v>E</v>
          </cell>
          <cell r="C122">
            <v>0</v>
          </cell>
          <cell r="D122" t="str">
            <v>OFICINA CAÑETE</v>
          </cell>
          <cell r="E122" t="str">
            <v>0211</v>
          </cell>
          <cell r="F122" t="str">
            <v>OFICINA MADRE</v>
          </cell>
          <cell r="G122">
            <v>3132</v>
          </cell>
          <cell r="H122" t="str">
            <v>GERENCIA TERRITORIAL NORTE SUR CHICO</v>
          </cell>
        </row>
        <row r="123">
          <cell r="A123" t="str">
            <v>0214</v>
          </cell>
          <cell r="B123" t="str">
            <v>N2</v>
          </cell>
          <cell r="C123">
            <v>42100</v>
          </cell>
          <cell r="D123" t="str">
            <v>OFICINA UNIVERSITARIA FREYRE</v>
          </cell>
          <cell r="E123" t="str">
            <v>0214</v>
          </cell>
          <cell r="F123" t="str">
            <v>OFICINA MADRE</v>
          </cell>
          <cell r="G123" t="str">
            <v>0645</v>
          </cell>
          <cell r="H123" t="str">
            <v>GERENCIA TERRITORIAL CALLAO SAN MIGUEL</v>
          </cell>
        </row>
        <row r="124">
          <cell r="A124" t="str">
            <v>0215</v>
          </cell>
          <cell r="B124" t="str">
            <v>C</v>
          </cell>
          <cell r="C124">
            <v>0</v>
          </cell>
          <cell r="D124" t="str">
            <v>OFICINA CHINCHA</v>
          </cell>
          <cell r="E124" t="str">
            <v>0215</v>
          </cell>
          <cell r="F124" t="str">
            <v>OFICINA MADRE</v>
          </cell>
          <cell r="G124">
            <v>3132</v>
          </cell>
          <cell r="H124" t="str">
            <v>GERENCIA TERRITORIAL NORTE SUR CHICO</v>
          </cell>
        </row>
        <row r="125">
          <cell r="A125" t="str">
            <v>0216</v>
          </cell>
          <cell r="B125" t="str">
            <v>E</v>
          </cell>
          <cell r="C125">
            <v>0</v>
          </cell>
          <cell r="D125" t="str">
            <v>OFICINA OPEN PLAZA CHICLAYO</v>
          </cell>
          <cell r="E125" t="str">
            <v>0216</v>
          </cell>
          <cell r="F125" t="str">
            <v>OFICINA MADRE</v>
          </cell>
          <cell r="G125" t="str">
            <v>0668</v>
          </cell>
          <cell r="H125" t="str">
            <v>GERENCIA TERRITORIAL NORTE</v>
          </cell>
        </row>
        <row r="126">
          <cell r="A126" t="str">
            <v>0218</v>
          </cell>
          <cell r="B126" t="str">
            <v>E</v>
          </cell>
          <cell r="C126">
            <v>0</v>
          </cell>
          <cell r="D126" t="str">
            <v>OFICINA QUILLABAMBA</v>
          </cell>
          <cell r="E126" t="str">
            <v>0218</v>
          </cell>
          <cell r="F126" t="str">
            <v>OFICINA MADRE</v>
          </cell>
          <cell r="G126" t="str">
            <v>0688</v>
          </cell>
          <cell r="H126" t="str">
            <v>GERENCIA TERRITORIAL SUR</v>
          </cell>
        </row>
        <row r="127">
          <cell r="A127" t="str">
            <v>0220</v>
          </cell>
          <cell r="B127" t="str">
            <v>A+</v>
          </cell>
          <cell r="C127">
            <v>0</v>
          </cell>
          <cell r="D127" t="str">
            <v>OFICINA AREQUIPA</v>
          </cell>
          <cell r="E127" t="str">
            <v>0220</v>
          </cell>
          <cell r="F127" t="str">
            <v>OFICINA MADRE</v>
          </cell>
          <cell r="G127" t="str">
            <v>0688</v>
          </cell>
          <cell r="H127" t="str">
            <v>GERENCIA TERRITORIAL SUR</v>
          </cell>
        </row>
        <row r="128">
          <cell r="A128" t="str">
            <v>0221</v>
          </cell>
          <cell r="B128" t="str">
            <v>E</v>
          </cell>
          <cell r="C128">
            <v>0</v>
          </cell>
          <cell r="D128" t="str">
            <v>OFICINA SAN CAMILO</v>
          </cell>
          <cell r="E128" t="str">
            <v>0221</v>
          </cell>
          <cell r="F128" t="str">
            <v>OFICINA MADRE</v>
          </cell>
          <cell r="G128" t="str">
            <v>0688</v>
          </cell>
          <cell r="H128" t="str">
            <v>GERENCIA TERRITORIAL SUR</v>
          </cell>
        </row>
        <row r="129">
          <cell r="A129" t="str">
            <v>0222</v>
          </cell>
          <cell r="B129" t="str">
            <v>E</v>
          </cell>
          <cell r="C129">
            <v>0</v>
          </cell>
          <cell r="D129" t="str">
            <v>OFICINA MIRAFLORES -  AREQUIPA</v>
          </cell>
          <cell r="E129" t="str">
            <v>0222</v>
          </cell>
          <cell r="F129" t="str">
            <v>OFICINA MADRE</v>
          </cell>
          <cell r="G129" t="str">
            <v>0688</v>
          </cell>
          <cell r="H129" t="str">
            <v>GERENCIA TERRITORIAL SUR</v>
          </cell>
        </row>
        <row r="130">
          <cell r="A130" t="str">
            <v>0223</v>
          </cell>
          <cell r="B130" t="str">
            <v>B</v>
          </cell>
          <cell r="C130">
            <v>0</v>
          </cell>
          <cell r="D130" t="str">
            <v>OFICINA CAYMA</v>
          </cell>
          <cell r="E130" t="str">
            <v>0223</v>
          </cell>
          <cell r="F130" t="str">
            <v>OFICINA MADRE</v>
          </cell>
          <cell r="G130" t="str">
            <v>0688</v>
          </cell>
          <cell r="H130" t="str">
            <v>GERENCIA TERRITORIAL SUR</v>
          </cell>
        </row>
        <row r="131">
          <cell r="A131" t="str">
            <v>0225</v>
          </cell>
          <cell r="B131" t="str">
            <v>E</v>
          </cell>
          <cell r="C131">
            <v>0</v>
          </cell>
          <cell r="D131" t="str">
            <v>OFICINA CAMANA - AREQUIPA</v>
          </cell>
          <cell r="E131" t="str">
            <v>0225</v>
          </cell>
          <cell r="F131" t="str">
            <v>OFICINA MADRE</v>
          </cell>
          <cell r="G131" t="str">
            <v>0688</v>
          </cell>
          <cell r="H131" t="str">
            <v>GERENCIA TERRITORIAL SUR</v>
          </cell>
        </row>
        <row r="132">
          <cell r="A132" t="str">
            <v>0226</v>
          </cell>
          <cell r="B132" t="str">
            <v>C</v>
          </cell>
          <cell r="C132">
            <v>0</v>
          </cell>
          <cell r="D132" t="str">
            <v>OFICINA PARQUE INDUSTRIAL</v>
          </cell>
          <cell r="E132" t="str">
            <v>0226</v>
          </cell>
          <cell r="F132" t="str">
            <v>OFICINA MADRE</v>
          </cell>
          <cell r="G132" t="str">
            <v>0688</v>
          </cell>
          <cell r="H132" t="str">
            <v>GERENCIA TERRITORIAL SUR</v>
          </cell>
        </row>
        <row r="133">
          <cell r="A133" t="str">
            <v>0228</v>
          </cell>
          <cell r="B133" t="str">
            <v>C</v>
          </cell>
          <cell r="C133">
            <v>0</v>
          </cell>
          <cell r="D133" t="str">
            <v>OFICINA JULIACA</v>
          </cell>
          <cell r="E133" t="str">
            <v>0228</v>
          </cell>
          <cell r="F133" t="str">
            <v>OFICINA MADRE</v>
          </cell>
          <cell r="G133" t="str">
            <v>0688</v>
          </cell>
          <cell r="H133" t="str">
            <v>GERENCIA TERRITORIAL SUR</v>
          </cell>
        </row>
        <row r="134">
          <cell r="A134" t="str">
            <v>0229</v>
          </cell>
          <cell r="B134" t="str">
            <v>C</v>
          </cell>
          <cell r="C134">
            <v>0</v>
          </cell>
          <cell r="D134" t="str">
            <v>OFICINA PUNO</v>
          </cell>
          <cell r="E134" t="str">
            <v>0229</v>
          </cell>
          <cell r="F134" t="str">
            <v>OFICINA MADRE</v>
          </cell>
          <cell r="G134" t="str">
            <v>0688</v>
          </cell>
          <cell r="H134" t="str">
            <v>GERENCIA TERRITORIAL SUR</v>
          </cell>
        </row>
        <row r="135">
          <cell r="A135" t="str">
            <v>0231</v>
          </cell>
          <cell r="B135" t="str">
            <v>D</v>
          </cell>
          <cell r="C135">
            <v>0</v>
          </cell>
          <cell r="D135" t="str">
            <v>OFICINA ILO</v>
          </cell>
          <cell r="E135" t="str">
            <v>0231</v>
          </cell>
          <cell r="F135" t="str">
            <v>OFICINA MADRE</v>
          </cell>
          <cell r="G135" t="str">
            <v>0688</v>
          </cell>
          <cell r="H135" t="str">
            <v>GERENCIA TERRITORIAL SUR</v>
          </cell>
        </row>
        <row r="136">
          <cell r="A136" t="str">
            <v>0232</v>
          </cell>
          <cell r="B136" t="str">
            <v>A</v>
          </cell>
          <cell r="C136">
            <v>0</v>
          </cell>
          <cell r="D136" t="str">
            <v>OFICINA TACNA</v>
          </cell>
          <cell r="E136" t="str">
            <v>0232</v>
          </cell>
          <cell r="F136" t="str">
            <v>OFICINA MADRE</v>
          </cell>
          <cell r="G136" t="str">
            <v>0688</v>
          </cell>
          <cell r="H136" t="str">
            <v>GERENCIA TERRITORIAL SUR</v>
          </cell>
        </row>
        <row r="137">
          <cell r="A137" t="str">
            <v>0233</v>
          </cell>
          <cell r="B137" t="str">
            <v>E</v>
          </cell>
          <cell r="C137">
            <v>0</v>
          </cell>
          <cell r="D137" t="str">
            <v>OFICINA 7 DE JUNIO</v>
          </cell>
          <cell r="E137" t="str">
            <v>0233</v>
          </cell>
          <cell r="F137" t="str">
            <v>OFICINA MADRE</v>
          </cell>
          <cell r="G137">
            <v>3249</v>
          </cell>
          <cell r="H137" t="str">
            <v>GERENCIA TERRITORIAL NOR ORIENTE</v>
          </cell>
        </row>
        <row r="138">
          <cell r="A138" t="str">
            <v>0234</v>
          </cell>
          <cell r="B138" t="str">
            <v>E</v>
          </cell>
          <cell r="C138">
            <v>0</v>
          </cell>
          <cell r="D138" t="str">
            <v>OFICINA PARQUE INDUSTRIAL VILLA EL SALVADOR</v>
          </cell>
          <cell r="E138" t="str">
            <v>0234</v>
          </cell>
          <cell r="F138" t="str">
            <v>OFICINA MADRE</v>
          </cell>
          <cell r="G138" t="str">
            <v>0630</v>
          </cell>
          <cell r="H138" t="str">
            <v>GERENCIA TERRITORIAL LIMA SUR</v>
          </cell>
        </row>
        <row r="139">
          <cell r="A139" t="str">
            <v>0235</v>
          </cell>
          <cell r="B139" t="str">
            <v>A</v>
          </cell>
          <cell r="C139">
            <v>0</v>
          </cell>
          <cell r="D139" t="str">
            <v>OFICINA HUANCAYO</v>
          </cell>
          <cell r="E139" t="str">
            <v>0235</v>
          </cell>
          <cell r="F139" t="str">
            <v>OFICINA MADRE</v>
          </cell>
          <cell r="G139" t="str">
            <v>0665</v>
          </cell>
          <cell r="H139" t="str">
            <v>GERENCIA TERRITORIAL CENTRO</v>
          </cell>
        </row>
        <row r="140">
          <cell r="A140" t="str">
            <v>0236</v>
          </cell>
          <cell r="B140" t="str">
            <v>D</v>
          </cell>
          <cell r="C140">
            <v>0</v>
          </cell>
          <cell r="D140" t="str">
            <v>OFICINA LA OROYA</v>
          </cell>
          <cell r="E140" t="str">
            <v>0236</v>
          </cell>
          <cell r="F140" t="str">
            <v>OFICINA MADRE</v>
          </cell>
          <cell r="G140" t="str">
            <v>0665</v>
          </cell>
          <cell r="H140" t="str">
            <v>GERENCIA TERRITORIAL CENTRO</v>
          </cell>
        </row>
        <row r="141">
          <cell r="A141" t="str">
            <v>0237</v>
          </cell>
          <cell r="B141" t="str">
            <v>D</v>
          </cell>
          <cell r="C141">
            <v>0</v>
          </cell>
          <cell r="D141" t="str">
            <v>OFICINA EL TAMBO</v>
          </cell>
          <cell r="E141" t="str">
            <v>0237</v>
          </cell>
          <cell r="F141" t="str">
            <v>OFICINA MADRE</v>
          </cell>
          <cell r="G141" t="str">
            <v>0665</v>
          </cell>
          <cell r="H141" t="str">
            <v>GERENCIA TERRITORIAL CENTRO</v>
          </cell>
        </row>
        <row r="142">
          <cell r="A142" t="str">
            <v>0238</v>
          </cell>
          <cell r="B142" t="str">
            <v>E</v>
          </cell>
          <cell r="C142">
            <v>0</v>
          </cell>
          <cell r="D142" t="str">
            <v>OFICINA LA MERCED</v>
          </cell>
          <cell r="E142" t="str">
            <v>0238</v>
          </cell>
          <cell r="F142" t="str">
            <v>OFICINA MADRE</v>
          </cell>
          <cell r="G142" t="str">
            <v>0665</v>
          </cell>
          <cell r="H142" t="str">
            <v>GERENCIA TERRITORIAL CENTRO</v>
          </cell>
        </row>
        <row r="143">
          <cell r="A143" t="str">
            <v>0240</v>
          </cell>
          <cell r="B143" t="str">
            <v>B</v>
          </cell>
          <cell r="C143">
            <v>0</v>
          </cell>
          <cell r="D143" t="str">
            <v>OFICINA ICA</v>
          </cell>
          <cell r="E143" t="str">
            <v>0240</v>
          </cell>
          <cell r="F143" t="str">
            <v>OFICINA MADRE</v>
          </cell>
          <cell r="G143">
            <v>3132</v>
          </cell>
          <cell r="H143" t="str">
            <v>GERENCIA TERRITORIAL NORTE SUR CHICO</v>
          </cell>
        </row>
        <row r="144">
          <cell r="A144" t="str">
            <v>0241</v>
          </cell>
          <cell r="B144" t="str">
            <v>E</v>
          </cell>
          <cell r="C144">
            <v>0</v>
          </cell>
          <cell r="D144" t="str">
            <v>OFICINA PISCO</v>
          </cell>
          <cell r="E144" t="str">
            <v>0241</v>
          </cell>
          <cell r="F144" t="str">
            <v>OFICINA MADRE</v>
          </cell>
          <cell r="G144">
            <v>3132</v>
          </cell>
          <cell r="H144" t="str">
            <v>GERENCIA TERRITORIAL NORTE SUR CHICO</v>
          </cell>
        </row>
        <row r="145">
          <cell r="A145" t="str">
            <v>0242</v>
          </cell>
          <cell r="B145" t="str">
            <v>E</v>
          </cell>
          <cell r="C145">
            <v>0</v>
          </cell>
          <cell r="D145" t="str">
            <v>OFICINA DAMERO GAMARRA</v>
          </cell>
          <cell r="E145" t="str">
            <v>0242</v>
          </cell>
          <cell r="F145" t="str">
            <v>OFICINA MADRE</v>
          </cell>
          <cell r="G145" t="str">
            <v>0736</v>
          </cell>
          <cell r="H145" t="str">
            <v>GERENCIA TERRITORIAL LIMA CENTRO</v>
          </cell>
        </row>
        <row r="146">
          <cell r="A146" t="str">
            <v>0244</v>
          </cell>
          <cell r="B146" t="str">
            <v>E</v>
          </cell>
          <cell r="C146">
            <v>0</v>
          </cell>
          <cell r="D146" t="str">
            <v>OFICINA HIPOLITO UNANUE</v>
          </cell>
          <cell r="E146" t="str">
            <v>0244</v>
          </cell>
          <cell r="F146" t="str">
            <v>OFICINA MADRE</v>
          </cell>
          <cell r="G146" t="str">
            <v>0736</v>
          </cell>
          <cell r="H146" t="str">
            <v>GERENCIA TERRITORIAL LIMA CENTRO</v>
          </cell>
        </row>
        <row r="147">
          <cell r="A147" t="str">
            <v>0245</v>
          </cell>
          <cell r="B147" t="str">
            <v>E</v>
          </cell>
          <cell r="C147">
            <v>0</v>
          </cell>
          <cell r="D147" t="str">
            <v>OFICINA MIRAFLORES PIURA</v>
          </cell>
          <cell r="E147" t="str">
            <v>0245</v>
          </cell>
          <cell r="F147" t="str">
            <v>OFICINA MADRE</v>
          </cell>
          <cell r="G147">
            <v>3249</v>
          </cell>
          <cell r="H147" t="str">
            <v>GERENCIA TERRITORIAL NOR ORIENTE</v>
          </cell>
        </row>
        <row r="148">
          <cell r="A148" t="str">
            <v>0246</v>
          </cell>
          <cell r="B148" t="str">
            <v>C</v>
          </cell>
          <cell r="C148">
            <v>0</v>
          </cell>
          <cell r="D148" t="str">
            <v>OFICINA HUSARES DE JUNIN TRUJILLO</v>
          </cell>
          <cell r="E148" t="str">
            <v>0246</v>
          </cell>
          <cell r="F148" t="str">
            <v>OFICINA MADRE</v>
          </cell>
          <cell r="G148" t="str">
            <v>0668</v>
          </cell>
          <cell r="H148" t="str">
            <v>GERENCIA TERRITORIAL NORTE</v>
          </cell>
        </row>
        <row r="149">
          <cell r="A149" t="str">
            <v>0247</v>
          </cell>
          <cell r="B149" t="str">
            <v>D</v>
          </cell>
          <cell r="C149">
            <v>0</v>
          </cell>
          <cell r="D149" t="str">
            <v>OFICINA CHEPEN</v>
          </cell>
          <cell r="E149" t="str">
            <v>0247</v>
          </cell>
          <cell r="F149" t="str">
            <v>OFICINA MADRE</v>
          </cell>
          <cell r="G149" t="str">
            <v>0668</v>
          </cell>
          <cell r="H149" t="str">
            <v>GERENCIA TERRITORIAL NORTE</v>
          </cell>
        </row>
        <row r="150">
          <cell r="A150" t="str">
            <v>0248</v>
          </cell>
          <cell r="B150" t="str">
            <v>E</v>
          </cell>
          <cell r="C150">
            <v>0</v>
          </cell>
          <cell r="D150" t="str">
            <v>OFICINA CC EL QUINDE</v>
          </cell>
          <cell r="E150" t="str">
            <v>0248</v>
          </cell>
          <cell r="F150" t="str">
            <v>OFICINA MADRE</v>
          </cell>
          <cell r="G150" t="str">
            <v>0665</v>
          </cell>
          <cell r="H150" t="str">
            <v>GERENCIA TERRITORIAL CENTRO</v>
          </cell>
        </row>
        <row r="151">
          <cell r="A151" t="str">
            <v>0249</v>
          </cell>
          <cell r="B151" t="str">
            <v>A+</v>
          </cell>
          <cell r="C151">
            <v>0</v>
          </cell>
          <cell r="D151" t="str">
            <v>OFICINA TRUJILLO</v>
          </cell>
          <cell r="E151" t="str">
            <v>0249</v>
          </cell>
          <cell r="F151" t="str">
            <v>OFICINA MADRE</v>
          </cell>
          <cell r="G151" t="str">
            <v>0668</v>
          </cell>
          <cell r="H151" t="str">
            <v>GERENCIA TERRITORIAL NORTE</v>
          </cell>
        </row>
        <row r="152">
          <cell r="A152" t="str">
            <v>0250</v>
          </cell>
          <cell r="B152" t="str">
            <v>B</v>
          </cell>
          <cell r="C152">
            <v>0</v>
          </cell>
          <cell r="D152" t="str">
            <v>OFICINA PRIMAVERA</v>
          </cell>
          <cell r="E152" t="str">
            <v>0250</v>
          </cell>
          <cell r="F152" t="str">
            <v>OFICINA MADRE</v>
          </cell>
          <cell r="G152" t="str">
            <v>0668</v>
          </cell>
          <cell r="H152" t="str">
            <v>GERENCIA TERRITORIAL NORTE</v>
          </cell>
        </row>
        <row r="153">
          <cell r="A153" t="str">
            <v>0251</v>
          </cell>
          <cell r="B153" t="str">
            <v>D</v>
          </cell>
          <cell r="C153">
            <v>0</v>
          </cell>
          <cell r="D153" t="str">
            <v>OFICINA MERCADO MAYORISTA TRUJILLO</v>
          </cell>
          <cell r="E153" t="str">
            <v>0251</v>
          </cell>
          <cell r="F153" t="str">
            <v>OFICINA MADRE</v>
          </cell>
          <cell r="G153" t="str">
            <v>0668</v>
          </cell>
          <cell r="H153" t="str">
            <v>GERENCIA TERRITORIAL NORTE</v>
          </cell>
        </row>
        <row r="154">
          <cell r="A154" t="str">
            <v>0252</v>
          </cell>
          <cell r="B154" t="str">
            <v>E</v>
          </cell>
          <cell r="C154">
            <v>0</v>
          </cell>
          <cell r="D154" t="str">
            <v>OFICINA MALL AVENTURA PLAZA CALLAO</v>
          </cell>
          <cell r="E154" t="str">
            <v>0252</v>
          </cell>
          <cell r="F154" t="str">
            <v>OFICINA MADRE</v>
          </cell>
          <cell r="G154" t="str">
            <v>0645</v>
          </cell>
          <cell r="H154" t="str">
            <v>GERENCIA TERRITORIAL CALLAO SAN MIGUEL</v>
          </cell>
        </row>
        <row r="155">
          <cell r="A155" t="str">
            <v>0253</v>
          </cell>
          <cell r="B155" t="str">
            <v>E</v>
          </cell>
          <cell r="C155">
            <v>0</v>
          </cell>
          <cell r="D155" t="str">
            <v>OFICINA REAL PLAZA PRO</v>
          </cell>
          <cell r="E155" t="str">
            <v>0253</v>
          </cell>
          <cell r="F155" t="str">
            <v>OFICINA MADRE</v>
          </cell>
          <cell r="G155" t="str">
            <v>0645</v>
          </cell>
          <cell r="H155" t="str">
            <v>GERENCIA TERRITORIAL CALLAO SAN MIGUEL</v>
          </cell>
        </row>
        <row r="156">
          <cell r="A156" t="str">
            <v>0254</v>
          </cell>
          <cell r="B156" t="str">
            <v>C</v>
          </cell>
          <cell r="C156">
            <v>0</v>
          </cell>
          <cell r="D156" t="str">
            <v>OFICINA LARCO -TRUJILLO</v>
          </cell>
          <cell r="E156" t="str">
            <v>0254</v>
          </cell>
          <cell r="F156" t="str">
            <v>OFICINA MADRE</v>
          </cell>
          <cell r="G156" t="str">
            <v>0668</v>
          </cell>
          <cell r="H156" t="str">
            <v>GERENCIA TERRITORIAL NORTE</v>
          </cell>
        </row>
        <row r="157">
          <cell r="A157" t="str">
            <v>0256</v>
          </cell>
          <cell r="B157" t="str">
            <v>E</v>
          </cell>
          <cell r="C157">
            <v>0</v>
          </cell>
          <cell r="D157" t="str">
            <v>OFICINA EL MURO</v>
          </cell>
          <cell r="E157" t="str">
            <v>0256</v>
          </cell>
          <cell r="F157" t="str">
            <v>OFICINA MADRE</v>
          </cell>
          <cell r="G157">
            <v>3133</v>
          </cell>
          <cell r="H157" t="str">
            <v>GERENCIA TERRITORIAL SURCO LA MOLINA</v>
          </cell>
        </row>
        <row r="158">
          <cell r="A158" t="str">
            <v>0257</v>
          </cell>
          <cell r="B158" t="str">
            <v>E</v>
          </cell>
          <cell r="C158">
            <v>0</v>
          </cell>
          <cell r="D158" t="str">
            <v>OFICINA GRAN CHIMU</v>
          </cell>
          <cell r="E158" t="str">
            <v>0257</v>
          </cell>
          <cell r="F158" t="str">
            <v>OFICINA MADRE</v>
          </cell>
          <cell r="G158">
            <v>3133</v>
          </cell>
          <cell r="H158" t="str">
            <v>GERENCIA TERRITORIAL SURCO LA MOLINA</v>
          </cell>
        </row>
        <row r="159">
          <cell r="A159" t="str">
            <v>0258</v>
          </cell>
          <cell r="B159" t="str">
            <v>E</v>
          </cell>
          <cell r="C159">
            <v>0</v>
          </cell>
          <cell r="D159" t="str">
            <v>OFICINA LARAPA</v>
          </cell>
          <cell r="E159" t="str">
            <v>0258</v>
          </cell>
          <cell r="F159" t="str">
            <v>OFICINA MADRE</v>
          </cell>
          <cell r="G159" t="str">
            <v>0688</v>
          </cell>
          <cell r="H159" t="str">
            <v>GERENCIA TERRITORIAL SUR</v>
          </cell>
        </row>
        <row r="160">
          <cell r="A160" t="str">
            <v>0259</v>
          </cell>
          <cell r="B160" t="str">
            <v>E</v>
          </cell>
          <cell r="C160">
            <v>0</v>
          </cell>
          <cell r="D160" t="str">
            <v>OFICINA C.C. CANTA CALLAO</v>
          </cell>
          <cell r="E160" t="str">
            <v>0259</v>
          </cell>
          <cell r="F160" t="str">
            <v>OFICINA MADRE</v>
          </cell>
          <cell r="G160" t="str">
            <v>0645</v>
          </cell>
          <cell r="H160" t="str">
            <v>GERENCIA TERRITORIAL CALLAO SAN MIGUEL</v>
          </cell>
        </row>
        <row r="161">
          <cell r="A161" t="str">
            <v>0260</v>
          </cell>
          <cell r="B161" t="str">
            <v>B</v>
          </cell>
          <cell r="C161">
            <v>0</v>
          </cell>
          <cell r="D161" t="str">
            <v>OFICINA HUARAZ - ANCASH</v>
          </cell>
          <cell r="E161" t="str">
            <v>0260</v>
          </cell>
          <cell r="F161" t="str">
            <v>OFICINA MADRE</v>
          </cell>
          <cell r="G161" t="str">
            <v>0665</v>
          </cell>
          <cell r="H161" t="str">
            <v>GERENCIA TERRITORIAL CENTRO</v>
          </cell>
        </row>
        <row r="162">
          <cell r="A162" t="str">
            <v>0261</v>
          </cell>
          <cell r="B162" t="str">
            <v>E</v>
          </cell>
          <cell r="C162">
            <v>0</v>
          </cell>
          <cell r="D162" t="str">
            <v>OFICINA C.C. ATOCONGO</v>
          </cell>
          <cell r="E162" t="str">
            <v>0261</v>
          </cell>
          <cell r="F162" t="str">
            <v>OFICINA MADRE</v>
          </cell>
          <cell r="G162" t="str">
            <v>0630</v>
          </cell>
          <cell r="H162" t="str">
            <v>GERENCIA TERRITORIAL LIMA SUR</v>
          </cell>
        </row>
        <row r="163">
          <cell r="A163" t="str">
            <v>0262</v>
          </cell>
          <cell r="B163" t="str">
            <v>E</v>
          </cell>
          <cell r="C163">
            <v>40330</v>
          </cell>
          <cell r="D163" t="str">
            <v>OFICINA LA PLANICIE</v>
          </cell>
          <cell r="E163" t="str">
            <v>0262</v>
          </cell>
          <cell r="F163" t="str">
            <v>OFICINA MADRE</v>
          </cell>
          <cell r="G163">
            <v>3133</v>
          </cell>
          <cell r="H163" t="str">
            <v>GERENCIA TERRITORIAL SURCO LA MOLINA</v>
          </cell>
        </row>
        <row r="164">
          <cell r="A164" t="str">
            <v>0263</v>
          </cell>
          <cell r="B164" t="str">
            <v>N1</v>
          </cell>
          <cell r="C164">
            <v>40577</v>
          </cell>
          <cell r="D164" t="str">
            <v>OFICINA PUERTO MALDONADO</v>
          </cell>
          <cell r="E164" t="str">
            <v>0263</v>
          </cell>
          <cell r="F164" t="str">
            <v>OFICINA MADRE</v>
          </cell>
          <cell r="G164" t="str">
            <v>0665</v>
          </cell>
          <cell r="H164" t="str">
            <v>GERENCIA TERRITORIAL CENTRO</v>
          </cell>
        </row>
        <row r="165">
          <cell r="A165" t="str">
            <v>0264</v>
          </cell>
          <cell r="B165" t="str">
            <v>N2</v>
          </cell>
          <cell r="C165">
            <v>41617</v>
          </cell>
          <cell r="D165" t="str">
            <v>OFICINA CHANCAY</v>
          </cell>
          <cell r="E165" t="str">
            <v>0264</v>
          </cell>
          <cell r="F165" t="str">
            <v>OFICINA MADRE</v>
          </cell>
          <cell r="G165">
            <v>3132</v>
          </cell>
          <cell r="H165" t="str">
            <v>GERENCIA TERRITORIAL NORTE SUR CHICO</v>
          </cell>
        </row>
        <row r="166">
          <cell r="A166" t="str">
            <v>0265</v>
          </cell>
          <cell r="B166" t="str">
            <v>C</v>
          </cell>
          <cell r="C166">
            <v>0</v>
          </cell>
          <cell r="D166" t="str">
            <v>OFICINA TUMBES</v>
          </cell>
          <cell r="E166" t="str">
            <v>0265</v>
          </cell>
          <cell r="F166" t="str">
            <v>OFICINA MADRE</v>
          </cell>
          <cell r="G166">
            <v>3249</v>
          </cell>
          <cell r="H166" t="str">
            <v>GERENCIA TERRITORIAL NOR ORIENTE</v>
          </cell>
        </row>
        <row r="167">
          <cell r="A167" t="str">
            <v>0266</v>
          </cell>
          <cell r="B167" t="str">
            <v>E</v>
          </cell>
          <cell r="C167">
            <v>0</v>
          </cell>
          <cell r="D167" t="str">
            <v>OFICINA C.C. REAL PLAZA HUANCAYO</v>
          </cell>
          <cell r="E167" t="str">
            <v>0266</v>
          </cell>
          <cell r="F167" t="str">
            <v>OFICINA MADRE</v>
          </cell>
          <cell r="G167" t="str">
            <v>0665</v>
          </cell>
          <cell r="H167" t="str">
            <v>GERENCIA TERRITORIAL CENTRO</v>
          </cell>
        </row>
        <row r="168">
          <cell r="A168" t="str">
            <v>0267</v>
          </cell>
          <cell r="B168" t="str">
            <v>A</v>
          </cell>
          <cell r="C168">
            <v>0</v>
          </cell>
          <cell r="D168" t="str">
            <v>OFICINA PIURA</v>
          </cell>
          <cell r="E168" t="str">
            <v>0267</v>
          </cell>
          <cell r="F168" t="str">
            <v>OFICINA MADRE</v>
          </cell>
          <cell r="G168">
            <v>3249</v>
          </cell>
          <cell r="H168" t="str">
            <v>GERENCIA TERRITORIAL NOR ORIENTE</v>
          </cell>
        </row>
        <row r="169">
          <cell r="A169" t="str">
            <v>0268</v>
          </cell>
          <cell r="B169" t="str">
            <v>C</v>
          </cell>
          <cell r="C169">
            <v>0</v>
          </cell>
          <cell r="D169" t="str">
            <v>OFICINA MCDO. MODELO PIURA</v>
          </cell>
          <cell r="E169" t="str">
            <v>0268</v>
          </cell>
          <cell r="F169" t="str">
            <v>OFICINA MADRE</v>
          </cell>
          <cell r="G169">
            <v>3249</v>
          </cell>
          <cell r="H169" t="str">
            <v>GERENCIA TERRITORIAL NOR ORIENTE</v>
          </cell>
        </row>
        <row r="170">
          <cell r="A170" t="str">
            <v>0269</v>
          </cell>
          <cell r="B170" t="str">
            <v>E</v>
          </cell>
          <cell r="C170">
            <v>0</v>
          </cell>
          <cell r="D170" t="str">
            <v>OFICINA EL AGUSTINO</v>
          </cell>
          <cell r="E170" t="str">
            <v>0269</v>
          </cell>
          <cell r="F170" t="str">
            <v>OFICINA MADRE</v>
          </cell>
          <cell r="G170" t="str">
            <v>0737</v>
          </cell>
          <cell r="H170" t="str">
            <v>GERENCIA TERRITORIAL MIRAFLORES SAN BORJA</v>
          </cell>
        </row>
        <row r="171">
          <cell r="A171" t="str">
            <v>0270</v>
          </cell>
          <cell r="B171" t="str">
            <v>D</v>
          </cell>
          <cell r="C171">
            <v>0</v>
          </cell>
          <cell r="D171" t="str">
            <v>OFICINA TALARA</v>
          </cell>
          <cell r="E171" t="str">
            <v>0270</v>
          </cell>
          <cell r="F171" t="str">
            <v>OFICINA MADRE</v>
          </cell>
          <cell r="G171">
            <v>3249</v>
          </cell>
          <cell r="H171" t="str">
            <v>GERENCIA TERRITORIAL NOR ORIENTE</v>
          </cell>
        </row>
        <row r="172">
          <cell r="A172" t="str">
            <v>0271</v>
          </cell>
          <cell r="B172" t="str">
            <v>D</v>
          </cell>
          <cell r="C172">
            <v>0</v>
          </cell>
          <cell r="D172" t="str">
            <v>OFICINA PAITA</v>
          </cell>
          <cell r="E172" t="str">
            <v>0271</v>
          </cell>
          <cell r="F172" t="str">
            <v>OFICINA MADRE</v>
          </cell>
          <cell r="G172">
            <v>3249</v>
          </cell>
          <cell r="H172" t="str">
            <v>GERENCIA TERRITORIAL NOR ORIENTE</v>
          </cell>
        </row>
        <row r="173">
          <cell r="A173" t="str">
            <v>0272</v>
          </cell>
          <cell r="B173" t="str">
            <v>N2</v>
          </cell>
          <cell r="C173">
            <v>41218</v>
          </cell>
          <cell r="D173" t="str">
            <v>OFICINA NUEVO CHIMBOTE</v>
          </cell>
          <cell r="E173" t="str">
            <v>0272</v>
          </cell>
          <cell r="F173" t="str">
            <v>OFICINA MADRE</v>
          </cell>
          <cell r="G173">
            <v>3132</v>
          </cell>
          <cell r="H173" t="str">
            <v>GERENCIA TERRITORIAL NORTE SUR CHICO</v>
          </cell>
        </row>
        <row r="174">
          <cell r="A174" t="str">
            <v>0273</v>
          </cell>
          <cell r="B174" t="str">
            <v>C</v>
          </cell>
          <cell r="C174">
            <v>0</v>
          </cell>
          <cell r="D174" t="str">
            <v>OFICINA HUARAL</v>
          </cell>
          <cell r="E174" t="str">
            <v>0273</v>
          </cell>
          <cell r="F174" t="str">
            <v>OFICINA MADRE</v>
          </cell>
          <cell r="G174">
            <v>3132</v>
          </cell>
          <cell r="H174" t="str">
            <v>GERENCIA TERRITORIAL NORTE SUR CHICO</v>
          </cell>
        </row>
        <row r="175">
          <cell r="A175" t="str">
            <v>0274</v>
          </cell>
          <cell r="B175" t="str">
            <v>E</v>
          </cell>
          <cell r="C175">
            <v>0</v>
          </cell>
          <cell r="D175" t="str">
            <v>OFICINA SULLANA</v>
          </cell>
          <cell r="E175" t="str">
            <v>0274</v>
          </cell>
          <cell r="F175" t="str">
            <v>OFICINA MADRE</v>
          </cell>
          <cell r="G175">
            <v>3249</v>
          </cell>
          <cell r="H175" t="str">
            <v>GERENCIA TERRITORIAL NOR ORIENTE</v>
          </cell>
        </row>
        <row r="176">
          <cell r="A176" t="str">
            <v>0275</v>
          </cell>
          <cell r="B176" t="str">
            <v>B</v>
          </cell>
          <cell r="C176">
            <v>0</v>
          </cell>
          <cell r="D176" t="str">
            <v>OFICINA HUACHO</v>
          </cell>
          <cell r="E176" t="str">
            <v>0275</v>
          </cell>
          <cell r="F176" t="str">
            <v>OFICINA MADRE</v>
          </cell>
          <cell r="G176">
            <v>3132</v>
          </cell>
          <cell r="H176" t="str">
            <v>GERENCIA TERRITORIAL NORTE SUR CHICO</v>
          </cell>
        </row>
        <row r="177">
          <cell r="A177" t="str">
            <v>0276</v>
          </cell>
          <cell r="B177" t="str">
            <v>D</v>
          </cell>
          <cell r="C177">
            <v>0</v>
          </cell>
          <cell r="D177" t="str">
            <v>OFICINA BARRANCA</v>
          </cell>
          <cell r="E177" t="str">
            <v>0276</v>
          </cell>
          <cell r="F177" t="str">
            <v>OFICINA MADRE</v>
          </cell>
          <cell r="G177">
            <v>3132</v>
          </cell>
          <cell r="H177" t="str">
            <v>GERENCIA TERRITORIAL NORTE SUR CHICO</v>
          </cell>
        </row>
        <row r="178">
          <cell r="A178" t="str">
            <v>0277</v>
          </cell>
          <cell r="B178" t="str">
            <v>B</v>
          </cell>
          <cell r="C178">
            <v>0</v>
          </cell>
          <cell r="D178" t="str">
            <v>OFICINA CAJAMARCA</v>
          </cell>
          <cell r="E178" t="str">
            <v>0277</v>
          </cell>
          <cell r="F178" t="str">
            <v>OFICINA MADRE</v>
          </cell>
          <cell r="G178" t="str">
            <v>0665</v>
          </cell>
          <cell r="H178" t="str">
            <v>GERENCIA TERRITORIAL CENTRO</v>
          </cell>
        </row>
        <row r="179">
          <cell r="A179" t="str">
            <v>0281</v>
          </cell>
          <cell r="B179" t="str">
            <v>B</v>
          </cell>
          <cell r="C179">
            <v>0</v>
          </cell>
          <cell r="D179" t="str">
            <v>OFICINA JAEN</v>
          </cell>
          <cell r="E179" t="str">
            <v>0281</v>
          </cell>
          <cell r="F179" t="str">
            <v>OFICINA MADRE</v>
          </cell>
          <cell r="G179" t="str">
            <v>0668</v>
          </cell>
          <cell r="H179" t="str">
            <v>GERENCIA TERRITORIAL NORTE</v>
          </cell>
        </row>
        <row r="180">
          <cell r="A180" t="str">
            <v>0282</v>
          </cell>
          <cell r="B180" t="str">
            <v>E</v>
          </cell>
          <cell r="C180">
            <v>0</v>
          </cell>
          <cell r="D180" t="str">
            <v>OFICINA OVALO 200 MILLAS</v>
          </cell>
          <cell r="E180" t="str">
            <v>0282</v>
          </cell>
          <cell r="F180" t="str">
            <v>OFICINA MADRE</v>
          </cell>
          <cell r="G180" t="str">
            <v>0645</v>
          </cell>
          <cell r="H180" t="str">
            <v>GERENCIA TERRITORIAL CALLAO SAN MIGUEL</v>
          </cell>
        </row>
        <row r="181">
          <cell r="A181" t="str">
            <v>0284</v>
          </cell>
          <cell r="B181" t="str">
            <v>E</v>
          </cell>
          <cell r="C181">
            <v>0</v>
          </cell>
          <cell r="D181" t="str">
            <v>OFICINA PLAZA LIMA NORTE</v>
          </cell>
          <cell r="E181" t="str">
            <v>0284</v>
          </cell>
          <cell r="F181" t="str">
            <v>OFICINA MADRE</v>
          </cell>
          <cell r="G181" t="str">
            <v>0734</v>
          </cell>
          <cell r="H181" t="str">
            <v>GERENCIA TERRITORIAL LIMA RESIDENCIAL</v>
          </cell>
        </row>
        <row r="182">
          <cell r="A182" t="str">
            <v>0285</v>
          </cell>
          <cell r="B182" t="str">
            <v>A+</v>
          </cell>
          <cell r="C182">
            <v>0</v>
          </cell>
          <cell r="D182" t="str">
            <v>OFICINA CHICLAYO</v>
          </cell>
          <cell r="E182" t="str">
            <v>0285</v>
          </cell>
          <cell r="F182" t="str">
            <v>OFICINA MADRE</v>
          </cell>
          <cell r="G182" t="str">
            <v>0668</v>
          </cell>
          <cell r="H182" t="str">
            <v>GERENCIA TERRITORIAL NORTE</v>
          </cell>
        </row>
        <row r="183">
          <cell r="A183" t="str">
            <v>0286</v>
          </cell>
          <cell r="B183" t="str">
            <v>N1</v>
          </cell>
          <cell r="C183">
            <v>40738</v>
          </cell>
          <cell r="D183" t="str">
            <v>OFICINA LOS ALAMOS</v>
          </cell>
          <cell r="E183" t="str">
            <v>0286</v>
          </cell>
          <cell r="F183" t="str">
            <v>OFICINA MADRE</v>
          </cell>
          <cell r="G183">
            <v>3133</v>
          </cell>
          <cell r="H183" t="str">
            <v>GERENCIA TERRITORIAL SURCO LA MOLINA</v>
          </cell>
        </row>
        <row r="184">
          <cell r="A184" t="str">
            <v>0287</v>
          </cell>
          <cell r="B184" t="str">
            <v>D</v>
          </cell>
          <cell r="C184">
            <v>0</v>
          </cell>
          <cell r="D184" t="str">
            <v>OFICINA MCDO. MODELO CHICLAYO</v>
          </cell>
          <cell r="E184" t="str">
            <v>0287</v>
          </cell>
          <cell r="F184" t="str">
            <v>OFICINA MADRE</v>
          </cell>
          <cell r="G184" t="str">
            <v>0668</v>
          </cell>
          <cell r="H184" t="str">
            <v>GERENCIA TERRITORIAL NORTE</v>
          </cell>
        </row>
        <row r="185">
          <cell r="A185" t="str">
            <v>0288</v>
          </cell>
          <cell r="B185" t="str">
            <v>D</v>
          </cell>
          <cell r="C185">
            <v>0</v>
          </cell>
          <cell r="D185" t="str">
            <v>OFICINA MOSHOQUEQUE</v>
          </cell>
          <cell r="E185" t="str">
            <v>0288</v>
          </cell>
          <cell r="F185" t="str">
            <v>OFICINA MADRE</v>
          </cell>
          <cell r="G185" t="str">
            <v>0668</v>
          </cell>
          <cell r="H185" t="str">
            <v>GERENCIA TERRITORIAL NORTE</v>
          </cell>
        </row>
        <row r="186">
          <cell r="A186" t="str">
            <v>0291</v>
          </cell>
          <cell r="B186" t="str">
            <v>E</v>
          </cell>
          <cell r="C186">
            <v>0</v>
          </cell>
          <cell r="D186" t="str">
            <v>OFICINA PACASMAYO</v>
          </cell>
          <cell r="E186" t="str">
            <v>0291</v>
          </cell>
          <cell r="F186" t="str">
            <v>OFICINA MADRE</v>
          </cell>
          <cell r="G186" t="str">
            <v>0668</v>
          </cell>
          <cell r="H186" t="str">
            <v>GERENCIA TERRITORIAL NORTE</v>
          </cell>
        </row>
        <row r="187">
          <cell r="A187" t="str">
            <v>0295</v>
          </cell>
          <cell r="B187" t="str">
            <v>A</v>
          </cell>
          <cell r="C187">
            <v>0</v>
          </cell>
          <cell r="D187" t="str">
            <v>OFICINA CHIMBOTE</v>
          </cell>
          <cell r="E187" t="str">
            <v>0295</v>
          </cell>
          <cell r="F187" t="str">
            <v>OFICINA MADRE</v>
          </cell>
          <cell r="G187">
            <v>3132</v>
          </cell>
          <cell r="H187" t="str">
            <v>GERENCIA TERRITORIAL NORTE SUR CHICO</v>
          </cell>
        </row>
        <row r="188">
          <cell r="A188" t="str">
            <v>0297</v>
          </cell>
          <cell r="B188" t="str">
            <v>D</v>
          </cell>
          <cell r="C188">
            <v>0</v>
          </cell>
          <cell r="D188" t="str">
            <v>OFICINA MCDO MODELO CHIMBOTE</v>
          </cell>
          <cell r="E188" t="str">
            <v>0297</v>
          </cell>
          <cell r="F188" t="str">
            <v>OFICINA MADRE</v>
          </cell>
          <cell r="G188">
            <v>3132</v>
          </cell>
          <cell r="H188" t="str">
            <v>GERENCIA TERRITORIAL NORTE SUR CHICO</v>
          </cell>
        </row>
        <row r="189">
          <cell r="A189" t="str">
            <v>0299</v>
          </cell>
          <cell r="B189" t="str">
            <v>N2</v>
          </cell>
          <cell r="C189">
            <v>41820</v>
          </cell>
          <cell r="D189" t="str">
            <v>OFICINA BELLAVISTA - SAN MARTIN</v>
          </cell>
          <cell r="E189" t="str">
            <v>0299</v>
          </cell>
          <cell r="F189" t="str">
            <v>OFICINA MADRE</v>
          </cell>
          <cell r="G189">
            <v>3249</v>
          </cell>
          <cell r="H189" t="str">
            <v>GERENCIA TERRITORIAL NOR ORIENTE</v>
          </cell>
        </row>
        <row r="190">
          <cell r="A190" t="str">
            <v>0301</v>
          </cell>
          <cell r="B190" t="str">
            <v>A</v>
          </cell>
          <cell r="C190">
            <v>0</v>
          </cell>
          <cell r="D190" t="str">
            <v>OFICINA IQUITOS</v>
          </cell>
          <cell r="E190" t="str">
            <v>0301</v>
          </cell>
          <cell r="F190" t="str">
            <v>OFICINA MADRE</v>
          </cell>
          <cell r="G190">
            <v>3249</v>
          </cell>
          <cell r="H190" t="str">
            <v>GERENCIA TERRITORIAL NOR ORIENTE</v>
          </cell>
        </row>
        <row r="191">
          <cell r="A191" t="str">
            <v>0304</v>
          </cell>
          <cell r="B191" t="str">
            <v>D</v>
          </cell>
          <cell r="C191">
            <v>0</v>
          </cell>
          <cell r="D191" t="str">
            <v>OFICINA BELEN</v>
          </cell>
          <cell r="E191" t="str">
            <v>0304</v>
          </cell>
          <cell r="F191" t="str">
            <v>OFICINA MADRE</v>
          </cell>
          <cell r="G191">
            <v>3249</v>
          </cell>
          <cell r="H191" t="str">
            <v>GERENCIA TERRITORIAL NOR ORIENTE</v>
          </cell>
        </row>
        <row r="192">
          <cell r="A192" t="str">
            <v>0306</v>
          </cell>
          <cell r="B192" t="str">
            <v>A+</v>
          </cell>
          <cell r="C192">
            <v>0</v>
          </cell>
          <cell r="D192" t="str">
            <v>OFICINA PUCALLPA</v>
          </cell>
          <cell r="E192" t="str">
            <v>0306</v>
          </cell>
          <cell r="F192" t="str">
            <v>OFICINA MADRE</v>
          </cell>
          <cell r="G192">
            <v>3249</v>
          </cell>
          <cell r="H192" t="str">
            <v>GERENCIA TERRITORIAL NOR ORIENTE</v>
          </cell>
        </row>
        <row r="193">
          <cell r="A193" t="str">
            <v>0309</v>
          </cell>
          <cell r="B193" t="str">
            <v>D</v>
          </cell>
          <cell r="C193">
            <v>0</v>
          </cell>
          <cell r="D193" t="str">
            <v>OFICINA SERPOST - ADUANAS</v>
          </cell>
          <cell r="E193" t="str">
            <v>0172</v>
          </cell>
          <cell r="F193" t="str">
            <v>ESPECIAL OPERATIVA</v>
          </cell>
          <cell r="G193" t="str">
            <v>0674</v>
          </cell>
          <cell r="H193" t="str">
            <v>GERENCIA TERRITORIAL LINCE</v>
          </cell>
        </row>
        <row r="194">
          <cell r="A194" t="str">
            <v>0310</v>
          </cell>
          <cell r="B194" t="str">
            <v>A</v>
          </cell>
          <cell r="C194">
            <v>0</v>
          </cell>
          <cell r="D194" t="str">
            <v>OFICINA TARAPOTO</v>
          </cell>
          <cell r="E194" t="str">
            <v>0310</v>
          </cell>
          <cell r="F194" t="str">
            <v>OFICINA MADRE</v>
          </cell>
          <cell r="G194">
            <v>3249</v>
          </cell>
          <cell r="H194" t="str">
            <v>GERENCIA TERRITORIAL NOR ORIENTE</v>
          </cell>
        </row>
        <row r="195">
          <cell r="A195" t="str">
            <v>0312</v>
          </cell>
          <cell r="B195" t="str">
            <v>E</v>
          </cell>
          <cell r="C195">
            <v>0</v>
          </cell>
          <cell r="D195" t="str">
            <v>OFICINA PRO</v>
          </cell>
          <cell r="E195" t="str">
            <v>0312</v>
          </cell>
          <cell r="F195" t="str">
            <v>OFICINA MADRE</v>
          </cell>
          <cell r="G195" t="str">
            <v>0645</v>
          </cell>
          <cell r="H195" t="str">
            <v>GERENCIA TERRITORIAL CALLAO SAN MIGUEL</v>
          </cell>
        </row>
        <row r="196">
          <cell r="A196" t="str">
            <v>0314</v>
          </cell>
          <cell r="B196" t="str">
            <v>C</v>
          </cell>
          <cell r="C196">
            <v>0</v>
          </cell>
          <cell r="D196" t="str">
            <v>OFICINA MOYOBAMBA</v>
          </cell>
          <cell r="E196" t="str">
            <v>0314</v>
          </cell>
          <cell r="F196" t="str">
            <v>OFICINA MADRE</v>
          </cell>
          <cell r="G196">
            <v>3249</v>
          </cell>
          <cell r="H196" t="str">
            <v>GERENCIA TERRITORIAL NOR ORIENTE</v>
          </cell>
        </row>
        <row r="197">
          <cell r="A197" t="str">
            <v>0315</v>
          </cell>
          <cell r="B197" t="str">
            <v>E</v>
          </cell>
          <cell r="C197">
            <v>0</v>
          </cell>
          <cell r="D197" t="str">
            <v>OFICINA ESPECIAL BACKUS</v>
          </cell>
          <cell r="E197" t="str">
            <v>0315</v>
          </cell>
          <cell r="F197" t="str">
            <v>OFICINA MADRE</v>
          </cell>
          <cell r="G197" t="str">
            <v>0630</v>
          </cell>
          <cell r="H197" t="str">
            <v>GERENCIA TERRITORIAL LIMA SUR</v>
          </cell>
        </row>
        <row r="198">
          <cell r="A198" t="str">
            <v>0316</v>
          </cell>
          <cell r="B198" t="str">
            <v>E</v>
          </cell>
          <cell r="C198">
            <v>0</v>
          </cell>
          <cell r="D198" t="str">
            <v>OFICINA PUENTE PIEDRA</v>
          </cell>
          <cell r="E198" t="str">
            <v>0316</v>
          </cell>
          <cell r="F198" t="str">
            <v>OFICINA MADRE</v>
          </cell>
          <cell r="G198">
            <v>3132</v>
          </cell>
          <cell r="H198" t="str">
            <v>GERENCIA TERRITORIAL NORTE SUR CHICO</v>
          </cell>
        </row>
        <row r="199">
          <cell r="A199" t="str">
            <v>0317</v>
          </cell>
          <cell r="B199" t="str">
            <v>D</v>
          </cell>
          <cell r="C199">
            <v>0</v>
          </cell>
          <cell r="D199" t="str">
            <v>OFICINA PLAZA LIMA SUR</v>
          </cell>
          <cell r="E199" t="str">
            <v>0317</v>
          </cell>
          <cell r="F199" t="str">
            <v>OFICINA MADRE</v>
          </cell>
          <cell r="G199" t="str">
            <v>0630</v>
          </cell>
          <cell r="H199" t="str">
            <v>GERENCIA TERRITORIAL LIMA SUR</v>
          </cell>
        </row>
        <row r="200">
          <cell r="A200" t="str">
            <v>0318</v>
          </cell>
          <cell r="B200" t="str">
            <v>E</v>
          </cell>
          <cell r="C200">
            <v>0</v>
          </cell>
          <cell r="D200" t="str">
            <v>OFICINA TINGO MARIA</v>
          </cell>
          <cell r="E200" t="str">
            <v>0318</v>
          </cell>
          <cell r="F200" t="str">
            <v>OFICINA MADRE</v>
          </cell>
          <cell r="G200" t="str">
            <v>0665</v>
          </cell>
          <cell r="H200" t="str">
            <v>GERENCIA TERRITORIAL CENTRO</v>
          </cell>
        </row>
        <row r="201">
          <cell r="A201" t="str">
            <v>0319</v>
          </cell>
          <cell r="B201" t="str">
            <v>E</v>
          </cell>
          <cell r="C201">
            <v>0</v>
          </cell>
          <cell r="D201" t="str">
            <v>OFICINA IZAGUIRRE</v>
          </cell>
          <cell r="E201" t="str">
            <v>0319</v>
          </cell>
          <cell r="F201" t="str">
            <v>OFICINA MADRE</v>
          </cell>
          <cell r="G201" t="str">
            <v>0734</v>
          </cell>
          <cell r="H201" t="str">
            <v>GERENCIA TERRITORIAL LIMA RESIDENCIAL</v>
          </cell>
        </row>
        <row r="202">
          <cell r="A202" t="str">
            <v>0320</v>
          </cell>
          <cell r="B202" t="str">
            <v>A</v>
          </cell>
          <cell r="C202">
            <v>0</v>
          </cell>
          <cell r="D202" t="str">
            <v>OFICINA ESSALUD</v>
          </cell>
          <cell r="E202" t="str">
            <v>0320</v>
          </cell>
          <cell r="F202" t="str">
            <v>OFICINA MADRE</v>
          </cell>
          <cell r="G202" t="str">
            <v>0674</v>
          </cell>
          <cell r="H202" t="str">
            <v>GERENCIA TERRITORIAL LINCE</v>
          </cell>
        </row>
        <row r="203">
          <cell r="A203" t="str">
            <v>0321</v>
          </cell>
          <cell r="B203" t="str">
            <v>C</v>
          </cell>
          <cell r="C203">
            <v>0</v>
          </cell>
          <cell r="D203" t="str">
            <v>OFICINA CERRO DE PASCO</v>
          </cell>
          <cell r="E203" t="str">
            <v>0321</v>
          </cell>
          <cell r="F203" t="str">
            <v>OFICINA MADRE</v>
          </cell>
          <cell r="G203" t="str">
            <v>0665</v>
          </cell>
          <cell r="H203" t="str">
            <v>GERENCIA TERRITORIAL CENTRO</v>
          </cell>
        </row>
        <row r="204">
          <cell r="A204" t="str">
            <v>0322</v>
          </cell>
          <cell r="B204" t="str">
            <v>E</v>
          </cell>
          <cell r="C204">
            <v>0</v>
          </cell>
          <cell r="D204" t="str">
            <v>OFICINA CANTO GRANDE</v>
          </cell>
          <cell r="E204" t="str">
            <v>0322</v>
          </cell>
          <cell r="F204" t="str">
            <v>OFICINA MADRE</v>
          </cell>
          <cell r="G204">
            <v>3133</v>
          </cell>
          <cell r="H204" t="str">
            <v>GERENCIA TERRITORIAL SURCO LA MOLINA</v>
          </cell>
        </row>
        <row r="205">
          <cell r="A205" t="str">
            <v>0323</v>
          </cell>
          <cell r="B205" t="str">
            <v>E</v>
          </cell>
          <cell r="C205">
            <v>0</v>
          </cell>
          <cell r="D205" t="str">
            <v>OFICINA VILLA EL SALVADOR</v>
          </cell>
          <cell r="E205" t="str">
            <v>0323</v>
          </cell>
          <cell r="F205" t="str">
            <v>OFICINA MADRE</v>
          </cell>
          <cell r="G205" t="str">
            <v>0630</v>
          </cell>
          <cell r="H205" t="str">
            <v>GERENCIA TERRITORIAL LIMA SUR</v>
          </cell>
        </row>
        <row r="206">
          <cell r="A206" t="str">
            <v>0324</v>
          </cell>
          <cell r="B206" t="str">
            <v>C</v>
          </cell>
          <cell r="C206">
            <v>0</v>
          </cell>
          <cell r="D206" t="str">
            <v>OFICINA YURIMAGUAS</v>
          </cell>
          <cell r="E206" t="str">
            <v>0324</v>
          </cell>
          <cell r="F206" t="str">
            <v>OFICINA MADRE</v>
          </cell>
          <cell r="G206">
            <v>3249</v>
          </cell>
          <cell r="H206" t="str">
            <v>GERENCIA TERRITORIAL NOR ORIENTE</v>
          </cell>
        </row>
        <row r="207">
          <cell r="A207" t="str">
            <v>0327</v>
          </cell>
          <cell r="B207" t="str">
            <v>D</v>
          </cell>
          <cell r="C207">
            <v>0</v>
          </cell>
          <cell r="D207" t="str">
            <v>OFICINA JUANJUI</v>
          </cell>
          <cell r="E207" t="str">
            <v>0327</v>
          </cell>
          <cell r="F207" t="str">
            <v>OFICINA MADRE</v>
          </cell>
          <cell r="G207">
            <v>3249</v>
          </cell>
          <cell r="H207" t="str">
            <v>GERENCIA TERRITORIAL NOR ORIENTE</v>
          </cell>
        </row>
        <row r="208">
          <cell r="A208" t="str">
            <v>0328</v>
          </cell>
          <cell r="B208" t="str">
            <v>E</v>
          </cell>
          <cell r="C208">
            <v>40442</v>
          </cell>
          <cell r="D208" t="str">
            <v>OFICINA EL POLO</v>
          </cell>
          <cell r="E208" t="str">
            <v>0328</v>
          </cell>
          <cell r="F208" t="str">
            <v>OFICINA MADRE</v>
          </cell>
          <cell r="G208">
            <v>3133</v>
          </cell>
          <cell r="H208" t="str">
            <v>GERENCIA TERRITORIAL SURCO LA MOLINA</v>
          </cell>
        </row>
        <row r="209">
          <cell r="A209" t="str">
            <v>0331</v>
          </cell>
          <cell r="B209" t="str">
            <v>A</v>
          </cell>
          <cell r="C209">
            <v>0</v>
          </cell>
          <cell r="D209" t="str">
            <v>OFICINA ALMENARA</v>
          </cell>
          <cell r="E209" t="str">
            <v>0115</v>
          </cell>
          <cell r="F209" t="str">
            <v>ESPECIAL COMERCIAL</v>
          </cell>
          <cell r="G209" t="str">
            <v>0736</v>
          </cell>
          <cell r="H209" t="str">
            <v>GERENCIA TERRITORIAL LIMA CENTRO</v>
          </cell>
        </row>
        <row r="210">
          <cell r="A210" t="str">
            <v>0332</v>
          </cell>
          <cell r="B210" t="str">
            <v>E</v>
          </cell>
          <cell r="C210">
            <v>0</v>
          </cell>
          <cell r="D210" t="str">
            <v>OFICINA MERCADO PRODUCTORES SANTA ANITA</v>
          </cell>
          <cell r="E210" t="str">
            <v>0332</v>
          </cell>
          <cell r="F210" t="str">
            <v>OFICINA MADRE</v>
          </cell>
          <cell r="G210" t="str">
            <v>0734</v>
          </cell>
          <cell r="H210" t="str">
            <v>GERENCIA TERRITORIAL LIMA RESIDENCIAL</v>
          </cell>
        </row>
        <row r="211">
          <cell r="A211" t="str">
            <v>0333</v>
          </cell>
          <cell r="B211" t="str">
            <v>A</v>
          </cell>
          <cell r="C211">
            <v>0</v>
          </cell>
          <cell r="D211" t="str">
            <v>OFICINA MIRAFLORES</v>
          </cell>
          <cell r="E211" t="str">
            <v>0333</v>
          </cell>
          <cell r="F211" t="str">
            <v>OFICINA MADRE</v>
          </cell>
          <cell r="G211" t="str">
            <v>0737</v>
          </cell>
          <cell r="H211" t="str">
            <v>GERENCIA TERRITORIAL MIRAFLORES SAN BORJA</v>
          </cell>
        </row>
        <row r="212">
          <cell r="A212" t="str">
            <v>0335</v>
          </cell>
          <cell r="B212" t="str">
            <v>E</v>
          </cell>
          <cell r="C212">
            <v>0</v>
          </cell>
          <cell r="D212" t="str">
            <v>OFICINA EL PINO</v>
          </cell>
          <cell r="E212" t="str">
            <v>0335</v>
          </cell>
          <cell r="F212" t="str">
            <v>OFICINA MADRE</v>
          </cell>
          <cell r="G212" t="str">
            <v>0734</v>
          </cell>
          <cell r="H212" t="str">
            <v>GERENCIA TERRITORIAL LIMA RESIDENCIAL</v>
          </cell>
        </row>
        <row r="213">
          <cell r="A213" t="str">
            <v>0336</v>
          </cell>
          <cell r="B213" t="str">
            <v>E</v>
          </cell>
          <cell r="C213">
            <v>0</v>
          </cell>
          <cell r="D213" t="str">
            <v>OFICINA IMUPESA</v>
          </cell>
          <cell r="E213" t="str">
            <v>0282</v>
          </cell>
          <cell r="F213" t="str">
            <v>ESPECIAL OPERATIVA</v>
          </cell>
          <cell r="G213" t="str">
            <v>0645</v>
          </cell>
          <cell r="H213" t="str">
            <v>GERENCIA TERRITORIAL CALLAO SAN MIGUEL</v>
          </cell>
        </row>
        <row r="214">
          <cell r="A214" t="str">
            <v>0338</v>
          </cell>
          <cell r="B214" t="str">
            <v>E</v>
          </cell>
          <cell r="C214">
            <v>0</v>
          </cell>
          <cell r="D214" t="str">
            <v>OFICINA VARGAS MACHUCA</v>
          </cell>
          <cell r="E214" t="str">
            <v>0338</v>
          </cell>
          <cell r="F214" t="str">
            <v>OFICINA MADRE</v>
          </cell>
          <cell r="G214" t="str">
            <v>0630</v>
          </cell>
          <cell r="H214" t="str">
            <v>GERENCIA TERRITORIAL LIMA SUR</v>
          </cell>
        </row>
        <row r="215">
          <cell r="A215" t="str">
            <v>0339</v>
          </cell>
          <cell r="B215" t="str">
            <v>E</v>
          </cell>
          <cell r="C215">
            <v>0</v>
          </cell>
          <cell r="D215" t="str">
            <v>OFICINA VENTANILLA</v>
          </cell>
          <cell r="E215" t="str">
            <v>0339</v>
          </cell>
          <cell r="F215" t="str">
            <v>OFICINA MADRE</v>
          </cell>
          <cell r="G215" t="str">
            <v>0645</v>
          </cell>
          <cell r="H215" t="str">
            <v>GERENCIA TERRITORIAL CALLAO SAN MIGUEL</v>
          </cell>
        </row>
        <row r="216">
          <cell r="A216" t="str">
            <v>0340</v>
          </cell>
          <cell r="B216" t="str">
            <v>E</v>
          </cell>
          <cell r="C216">
            <v>0</v>
          </cell>
          <cell r="D216" t="str">
            <v>OFICINA 28 DE JULIO</v>
          </cell>
          <cell r="E216" t="str">
            <v>0340</v>
          </cell>
          <cell r="F216" t="str">
            <v>OFICINA MADRE</v>
          </cell>
          <cell r="G216" t="str">
            <v>0736</v>
          </cell>
          <cell r="H216" t="str">
            <v>GERENCIA TERRITORIAL LIMA CENTRO</v>
          </cell>
        </row>
        <row r="217">
          <cell r="A217" t="str">
            <v>0341</v>
          </cell>
          <cell r="B217" t="str">
            <v>E</v>
          </cell>
          <cell r="C217">
            <v>0</v>
          </cell>
          <cell r="D217" t="str">
            <v>OFICINA CANADA - LA ROSA TORO</v>
          </cell>
          <cell r="E217" t="str">
            <v>0341</v>
          </cell>
          <cell r="F217" t="str">
            <v>OFICINA MADRE</v>
          </cell>
          <cell r="G217" t="str">
            <v>0736</v>
          </cell>
          <cell r="H217" t="str">
            <v>GERENCIA TERRITORIAL LIMA CENTRO</v>
          </cell>
        </row>
        <row r="218">
          <cell r="A218" t="str">
            <v>0342</v>
          </cell>
          <cell r="B218" t="str">
            <v>E</v>
          </cell>
          <cell r="C218">
            <v>0</v>
          </cell>
          <cell r="D218" t="str">
            <v>OFICINA MULTIPLAZA</v>
          </cell>
          <cell r="E218" t="str">
            <v>0342</v>
          </cell>
          <cell r="F218" t="str">
            <v>OFICINA MADRE</v>
          </cell>
          <cell r="G218" t="str">
            <v>0734</v>
          </cell>
          <cell r="H218" t="str">
            <v>GERENCIA TERRITORIAL LIMA RESIDENCIAL</v>
          </cell>
        </row>
        <row r="219">
          <cell r="A219" t="str">
            <v>0344</v>
          </cell>
          <cell r="B219" t="str">
            <v>E</v>
          </cell>
          <cell r="C219">
            <v>0</v>
          </cell>
          <cell r="D219" t="str">
            <v>OFICINA BIENESTAR DE LA MARINA</v>
          </cell>
          <cell r="E219" t="str">
            <v>0165</v>
          </cell>
          <cell r="F219" t="str">
            <v>ESPECIAL OPERATIVA</v>
          </cell>
          <cell r="G219" t="str">
            <v>0645</v>
          </cell>
          <cell r="H219" t="str">
            <v>GERENCIA TERRITORIAL CALLAO SAN MIGUEL</v>
          </cell>
        </row>
        <row r="220">
          <cell r="A220" t="str">
            <v>0345</v>
          </cell>
          <cell r="B220" t="str">
            <v>E</v>
          </cell>
          <cell r="C220">
            <v>0</v>
          </cell>
          <cell r="D220" t="str">
            <v>OFICINA CHOSICA</v>
          </cell>
          <cell r="E220" t="str">
            <v>0345</v>
          </cell>
          <cell r="F220" t="str">
            <v>OFICINA MADRE</v>
          </cell>
          <cell r="G220" t="str">
            <v>0630</v>
          </cell>
          <cell r="H220" t="str">
            <v>GERENCIA TERRITORIAL LIMA SUR</v>
          </cell>
        </row>
        <row r="221">
          <cell r="A221" t="str">
            <v>0346</v>
          </cell>
          <cell r="B221" t="str">
            <v>D</v>
          </cell>
          <cell r="C221">
            <v>0</v>
          </cell>
          <cell r="D221" t="str">
            <v>OFICINA PARURO</v>
          </cell>
          <cell r="E221" t="str">
            <v>0346</v>
          </cell>
          <cell r="F221" t="str">
            <v>OFICINA MADRE</v>
          </cell>
          <cell r="G221" t="str">
            <v>0736</v>
          </cell>
          <cell r="H221" t="str">
            <v>GERENCIA TERRITORIAL LIMA CENTRO</v>
          </cell>
        </row>
        <row r="222">
          <cell r="A222" t="str">
            <v>0348</v>
          </cell>
          <cell r="B222" t="str">
            <v>D</v>
          </cell>
          <cell r="C222">
            <v>0</v>
          </cell>
          <cell r="D222" t="str">
            <v>OFICINA REAL PLAZA CHICLAYO</v>
          </cell>
          <cell r="E222" t="str">
            <v>0348</v>
          </cell>
          <cell r="F222" t="str">
            <v>OFICINA MADRE</v>
          </cell>
          <cell r="G222" t="str">
            <v>0668</v>
          </cell>
          <cell r="H222" t="str">
            <v>GERENCIA TERRITORIAL NORTE</v>
          </cell>
        </row>
        <row r="223">
          <cell r="A223" t="str">
            <v>0351</v>
          </cell>
          <cell r="B223" t="str">
            <v>D</v>
          </cell>
          <cell r="C223">
            <v>0</v>
          </cell>
          <cell r="D223" t="str">
            <v>OFICINA LOS GERANIOS</v>
          </cell>
          <cell r="E223" t="str">
            <v>0351</v>
          </cell>
          <cell r="F223" t="str">
            <v>OFICINA MADRE</v>
          </cell>
          <cell r="G223" t="str">
            <v>0674</v>
          </cell>
          <cell r="H223" t="str">
            <v>GERENCIA TERRITORIAL LINCE</v>
          </cell>
        </row>
        <row r="224">
          <cell r="A224" t="str">
            <v>0352</v>
          </cell>
          <cell r="B224" t="str">
            <v>D</v>
          </cell>
          <cell r="C224">
            <v>0</v>
          </cell>
          <cell r="D224" t="str">
            <v>OFICINA LAS TIENDAS</v>
          </cell>
          <cell r="E224" t="str">
            <v>0352</v>
          </cell>
          <cell r="F224" t="str">
            <v>OFICINA MADRE</v>
          </cell>
          <cell r="G224" t="str">
            <v>0737</v>
          </cell>
          <cell r="H224" t="str">
            <v>GERENCIA TERRITORIAL MIRAFLORES SAN BORJA</v>
          </cell>
        </row>
        <row r="225">
          <cell r="A225" t="str">
            <v>0353</v>
          </cell>
          <cell r="B225" t="str">
            <v>D</v>
          </cell>
          <cell r="C225">
            <v>0</v>
          </cell>
          <cell r="D225" t="str">
            <v>OFICINA DOMINGO CUETO</v>
          </cell>
          <cell r="E225" t="str">
            <v>0353</v>
          </cell>
          <cell r="F225" t="str">
            <v>OFICINA MADRE</v>
          </cell>
          <cell r="G225" t="str">
            <v>0674</v>
          </cell>
          <cell r="H225" t="str">
            <v>GERENCIA TERRITORIAL LINCE</v>
          </cell>
        </row>
        <row r="226">
          <cell r="A226" t="str">
            <v>0354</v>
          </cell>
          <cell r="B226" t="str">
            <v>C</v>
          </cell>
          <cell r="C226">
            <v>0</v>
          </cell>
          <cell r="D226" t="str">
            <v>OFICINA LAS BEGONIAS</v>
          </cell>
          <cell r="E226" t="str">
            <v>0354</v>
          </cell>
          <cell r="F226" t="str">
            <v>OFICINA MADRE</v>
          </cell>
          <cell r="G226" t="str">
            <v>0734</v>
          </cell>
          <cell r="H226" t="str">
            <v>GERENCIA TERRITORIAL LIMA RESIDENCIAL</v>
          </cell>
        </row>
        <row r="227">
          <cell r="A227" t="str">
            <v>0355</v>
          </cell>
          <cell r="B227" t="str">
            <v>D</v>
          </cell>
          <cell r="C227">
            <v>0</v>
          </cell>
          <cell r="D227" t="str">
            <v>OFICINA AVIACION</v>
          </cell>
          <cell r="E227" t="str">
            <v>0355</v>
          </cell>
          <cell r="F227" t="str">
            <v>OFICINA MADRE</v>
          </cell>
          <cell r="G227" t="str">
            <v>0737</v>
          </cell>
          <cell r="H227" t="str">
            <v>GERENCIA TERRITORIAL MIRAFLORES SAN BORJA</v>
          </cell>
        </row>
        <row r="228">
          <cell r="A228" t="str">
            <v>0356</v>
          </cell>
          <cell r="B228" t="str">
            <v>D</v>
          </cell>
          <cell r="C228">
            <v>0</v>
          </cell>
          <cell r="D228" t="str">
            <v>OFICINA PETIT THOUARS</v>
          </cell>
          <cell r="E228" t="str">
            <v>0356</v>
          </cell>
          <cell r="F228" t="str">
            <v>OFICINA MADRE</v>
          </cell>
          <cell r="G228" t="str">
            <v>0674</v>
          </cell>
          <cell r="H228" t="str">
            <v>GERENCIA TERRITORIAL LINCE</v>
          </cell>
        </row>
        <row r="229">
          <cell r="A229" t="str">
            <v>0357</v>
          </cell>
          <cell r="B229" t="str">
            <v>C</v>
          </cell>
          <cell r="C229">
            <v>0</v>
          </cell>
          <cell r="D229" t="str">
            <v>OFICINA ORRANTIA</v>
          </cell>
          <cell r="E229" t="str">
            <v>0357</v>
          </cell>
          <cell r="F229" t="str">
            <v>OFICINA MADRE</v>
          </cell>
          <cell r="G229" t="str">
            <v>0674</v>
          </cell>
          <cell r="H229" t="str">
            <v>GERENCIA TERRITORIAL LINCE</v>
          </cell>
        </row>
        <row r="230">
          <cell r="A230" t="str">
            <v>0358</v>
          </cell>
          <cell r="B230" t="str">
            <v>B</v>
          </cell>
          <cell r="C230">
            <v>0</v>
          </cell>
          <cell r="D230" t="str">
            <v>OFICINA SAN LUIS</v>
          </cell>
          <cell r="E230" t="str">
            <v>0358</v>
          </cell>
          <cell r="F230" t="str">
            <v>OFICINA MADRE</v>
          </cell>
          <cell r="G230" t="str">
            <v>0737</v>
          </cell>
          <cell r="H230" t="str">
            <v>GERENCIA TERRITORIAL MIRAFLORES SAN BORJA</v>
          </cell>
        </row>
        <row r="231">
          <cell r="A231" t="str">
            <v>0359</v>
          </cell>
          <cell r="B231" t="str">
            <v>D</v>
          </cell>
          <cell r="C231">
            <v>0</v>
          </cell>
          <cell r="D231" t="str">
            <v>OFICINA AV. CENTRAL</v>
          </cell>
          <cell r="E231" t="str">
            <v>0359</v>
          </cell>
          <cell r="F231" t="str">
            <v>OFICINA MADRE</v>
          </cell>
          <cell r="G231" t="str">
            <v>0674</v>
          </cell>
          <cell r="H231" t="str">
            <v>GERENCIA TERRITORIAL LINCE</v>
          </cell>
        </row>
        <row r="232">
          <cell r="A232" t="str">
            <v>0360</v>
          </cell>
          <cell r="B232" t="str">
            <v>D</v>
          </cell>
          <cell r="C232">
            <v>0</v>
          </cell>
          <cell r="D232" t="str">
            <v>OFICINA JOCKEY PLAZA</v>
          </cell>
          <cell r="E232" t="str">
            <v>0360</v>
          </cell>
          <cell r="F232" t="str">
            <v>OFICINA MADRE</v>
          </cell>
          <cell r="G232">
            <v>3133</v>
          </cell>
          <cell r="H232" t="str">
            <v>GERENCIA TERRITORIAL SURCO LA MOLINA</v>
          </cell>
        </row>
        <row r="233">
          <cell r="A233" t="str">
            <v>0361</v>
          </cell>
          <cell r="B233" t="str">
            <v>D</v>
          </cell>
          <cell r="C233">
            <v>0</v>
          </cell>
          <cell r="D233" t="str">
            <v>OFICINA ABANCAY CONGRESO</v>
          </cell>
          <cell r="E233" t="str">
            <v>0361</v>
          </cell>
          <cell r="F233" t="str">
            <v>OFICINA MADRE</v>
          </cell>
          <cell r="G233" t="str">
            <v>0736</v>
          </cell>
          <cell r="H233" t="str">
            <v>GERENCIA TERRITORIAL LIMA CENTRO</v>
          </cell>
        </row>
        <row r="234">
          <cell r="A234" t="str">
            <v>0364</v>
          </cell>
          <cell r="B234" t="str">
            <v>C</v>
          </cell>
          <cell r="C234">
            <v>0</v>
          </cell>
          <cell r="D234" t="str">
            <v>OFICINA BASADRE</v>
          </cell>
          <cell r="E234" t="str">
            <v>0364</v>
          </cell>
          <cell r="F234" t="str">
            <v>OFICINA MADRE</v>
          </cell>
          <cell r="G234" t="str">
            <v>0734</v>
          </cell>
          <cell r="H234" t="str">
            <v>GERENCIA TERRITORIAL LIMA RESIDENCIAL</v>
          </cell>
        </row>
        <row r="235">
          <cell r="A235" t="str">
            <v>0366</v>
          </cell>
          <cell r="B235" t="str">
            <v>D</v>
          </cell>
          <cell r="C235">
            <v>0</v>
          </cell>
          <cell r="D235" t="str">
            <v>OFICINA CONQUISTADORES</v>
          </cell>
          <cell r="E235" t="str">
            <v>0366</v>
          </cell>
          <cell r="F235" t="str">
            <v>OFICINA MADRE</v>
          </cell>
          <cell r="G235" t="str">
            <v>0734</v>
          </cell>
          <cell r="H235" t="str">
            <v>GERENCIA TERRITORIAL LIMA RESIDENCIAL</v>
          </cell>
        </row>
        <row r="236">
          <cell r="A236" t="str">
            <v>0367</v>
          </cell>
          <cell r="B236" t="str">
            <v>D</v>
          </cell>
          <cell r="C236">
            <v>0</v>
          </cell>
          <cell r="D236" t="str">
            <v>OFICINA BENAVIDES</v>
          </cell>
          <cell r="E236" t="str">
            <v>0367</v>
          </cell>
          <cell r="F236" t="str">
            <v>OFICINA MADRE</v>
          </cell>
          <cell r="G236" t="str">
            <v>0737</v>
          </cell>
          <cell r="H236" t="str">
            <v>GERENCIA TERRITORIAL MIRAFLORES SAN BORJA</v>
          </cell>
        </row>
        <row r="237">
          <cell r="A237" t="str">
            <v>0368</v>
          </cell>
          <cell r="B237" t="str">
            <v>C</v>
          </cell>
          <cell r="C237">
            <v>0</v>
          </cell>
          <cell r="D237" t="str">
            <v>OFICINA RICARDO PALMA</v>
          </cell>
          <cell r="E237" t="str">
            <v>0368</v>
          </cell>
          <cell r="F237" t="str">
            <v>OFICINA MADRE</v>
          </cell>
          <cell r="G237" t="str">
            <v>0737</v>
          </cell>
          <cell r="H237" t="str">
            <v>GERENCIA TERRITORIAL MIRAFLORES SAN BORJA</v>
          </cell>
        </row>
        <row r="238">
          <cell r="A238" t="str">
            <v>0369</v>
          </cell>
          <cell r="B238" t="str">
            <v>C</v>
          </cell>
          <cell r="C238">
            <v>0</v>
          </cell>
          <cell r="D238" t="str">
            <v>OFICINA EL OLIVAR</v>
          </cell>
          <cell r="E238" t="str">
            <v>0369</v>
          </cell>
          <cell r="F238" t="str">
            <v>OFICINA MADRE</v>
          </cell>
          <cell r="G238" t="str">
            <v>0734</v>
          </cell>
          <cell r="H238" t="str">
            <v>GERENCIA TERRITORIAL LIMA RESIDENCIAL</v>
          </cell>
        </row>
        <row r="239">
          <cell r="A239" t="str">
            <v>0370</v>
          </cell>
          <cell r="B239" t="str">
            <v>D</v>
          </cell>
          <cell r="C239">
            <v>0</v>
          </cell>
          <cell r="D239" t="str">
            <v>OFICINA LIMATAMBO</v>
          </cell>
          <cell r="E239" t="str">
            <v>0370</v>
          </cell>
          <cell r="F239" t="str">
            <v>OFICINA MADRE</v>
          </cell>
          <cell r="G239" t="str">
            <v>0737</v>
          </cell>
          <cell r="H239" t="str">
            <v>GERENCIA TERRITORIAL MIRAFLORES SAN BORJA</v>
          </cell>
        </row>
        <row r="240">
          <cell r="A240" t="str">
            <v>0372</v>
          </cell>
          <cell r="B240" t="str">
            <v>C</v>
          </cell>
          <cell r="C240">
            <v>0</v>
          </cell>
          <cell r="D240" t="str">
            <v>OFICINA LOS ROBLES</v>
          </cell>
          <cell r="E240" t="str">
            <v>0372</v>
          </cell>
          <cell r="F240" t="str">
            <v>OFICINA MADRE</v>
          </cell>
          <cell r="G240" t="str">
            <v>0674</v>
          </cell>
          <cell r="H240" t="str">
            <v>GERENCIA TERRITORIAL LINCE</v>
          </cell>
        </row>
        <row r="241">
          <cell r="A241" t="str">
            <v>0379</v>
          </cell>
          <cell r="B241" t="str">
            <v>D</v>
          </cell>
          <cell r="C241">
            <v>0</v>
          </cell>
          <cell r="D241" t="str">
            <v>OFICNA AMBEV</v>
          </cell>
          <cell r="E241" t="str">
            <v>0129</v>
          </cell>
          <cell r="F241" t="str">
            <v>ESPECIAL OPERATIVA COMERCIAL</v>
          </cell>
          <cell r="G241" t="str">
            <v>0630</v>
          </cell>
          <cell r="H241" t="str">
            <v>GERENCIA TERRITORIAL LIMA SUR</v>
          </cell>
        </row>
        <row r="242">
          <cell r="A242" t="str">
            <v>0381</v>
          </cell>
          <cell r="B242" t="str">
            <v>E</v>
          </cell>
          <cell r="C242">
            <v>0</v>
          </cell>
          <cell r="D242" t="str">
            <v>OFICINA EL PUERTO</v>
          </cell>
          <cell r="E242" t="str">
            <v>0381</v>
          </cell>
          <cell r="F242" t="str">
            <v>OFICINA MADRE</v>
          </cell>
          <cell r="G242" t="str">
            <v>0645</v>
          </cell>
          <cell r="H242" t="str">
            <v>GERENCIA TERRITORIAL CALLAO SAN MIGUEL</v>
          </cell>
        </row>
        <row r="243">
          <cell r="A243" t="str">
            <v>0383</v>
          </cell>
          <cell r="B243" t="str">
            <v>D</v>
          </cell>
          <cell r="C243">
            <v>0</v>
          </cell>
          <cell r="D243" t="str">
            <v>OFICINA FAUCETT 2</v>
          </cell>
          <cell r="E243" t="str">
            <v>0383</v>
          </cell>
          <cell r="F243" t="str">
            <v>OFICINA MADRE</v>
          </cell>
          <cell r="G243" t="str">
            <v>0645</v>
          </cell>
          <cell r="H243" t="str">
            <v>GERENCIA TERRITORIAL CALLAO SAN MIGUEL</v>
          </cell>
        </row>
        <row r="244">
          <cell r="A244" t="str">
            <v>0385</v>
          </cell>
          <cell r="B244" t="str">
            <v>C</v>
          </cell>
          <cell r="C244">
            <v>0</v>
          </cell>
          <cell r="D244" t="str">
            <v>OFICINA NESTLE-DONOFRIO</v>
          </cell>
          <cell r="E244" t="str">
            <v>0164</v>
          </cell>
          <cell r="F244" t="str">
            <v>ESPECIAL OPERATIVA</v>
          </cell>
          <cell r="G244" t="str">
            <v>0736</v>
          </cell>
          <cell r="H244" t="str">
            <v>GERENCIA TERRITORIAL LIMA CENTRO</v>
          </cell>
        </row>
        <row r="245">
          <cell r="A245" t="str">
            <v>0387</v>
          </cell>
          <cell r="B245" t="str">
            <v>D</v>
          </cell>
          <cell r="C245">
            <v>0</v>
          </cell>
          <cell r="D245" t="str">
            <v>OFICINA CANAVAL Y MOREYRA</v>
          </cell>
          <cell r="E245" t="str">
            <v>0387</v>
          </cell>
          <cell r="F245" t="str">
            <v>OFICINA MADRE</v>
          </cell>
          <cell r="G245" t="str">
            <v>0734</v>
          </cell>
          <cell r="H245" t="str">
            <v>GERENCIA TERRITORIAL LIMA RESIDENCIAL</v>
          </cell>
        </row>
        <row r="246">
          <cell r="A246" t="str">
            <v>0388</v>
          </cell>
          <cell r="B246" t="str">
            <v>D</v>
          </cell>
          <cell r="C246">
            <v>0</v>
          </cell>
          <cell r="D246" t="str">
            <v>OFICINA NEPTUNIA</v>
          </cell>
          <cell r="E246" t="str">
            <v>0127</v>
          </cell>
          <cell r="F246" t="str">
            <v>ESPECIAL OPERATIVA</v>
          </cell>
          <cell r="G246" t="str">
            <v>0645</v>
          </cell>
          <cell r="H246" t="str">
            <v>GERENCIA TERRITORIAL CALLAO SAN MIGUEL</v>
          </cell>
        </row>
        <row r="247">
          <cell r="A247" t="str">
            <v>0396</v>
          </cell>
          <cell r="B247" t="str">
            <v>E</v>
          </cell>
          <cell r="C247">
            <v>0</v>
          </cell>
          <cell r="D247" t="str">
            <v>OFICINA COVIDA</v>
          </cell>
          <cell r="E247" t="str">
            <v>0396</v>
          </cell>
          <cell r="F247" t="str">
            <v>OFICINA MADRE</v>
          </cell>
          <cell r="G247" t="str">
            <v>0734</v>
          </cell>
          <cell r="H247" t="str">
            <v>GERENCIA TERRITORIAL LIMA RESIDENCIAL</v>
          </cell>
        </row>
        <row r="248">
          <cell r="A248" t="str">
            <v>0418</v>
          </cell>
          <cell r="B248" t="str">
            <v>N2</v>
          </cell>
          <cell r="C248">
            <v>41304</v>
          </cell>
          <cell r="D248" t="str">
            <v>OFICINA VILLA INFANTAS</v>
          </cell>
          <cell r="E248" t="str">
            <v>0418</v>
          </cell>
          <cell r="F248" t="str">
            <v>OFICINA MADRE</v>
          </cell>
          <cell r="G248" t="str">
            <v>0734</v>
          </cell>
          <cell r="H248" t="str">
            <v>GERENCIA TERRITORIAL LIMA RESIDENCIAL</v>
          </cell>
        </row>
        <row r="249">
          <cell r="A249" t="str">
            <v>0426</v>
          </cell>
          <cell r="B249" t="str">
            <v>E</v>
          </cell>
          <cell r="C249">
            <v>0</v>
          </cell>
          <cell r="D249" t="str">
            <v>OFICINA AV. DEL EJERCITO</v>
          </cell>
          <cell r="E249" t="str">
            <v>0426</v>
          </cell>
          <cell r="F249" t="str">
            <v>OFICINA MADRE</v>
          </cell>
          <cell r="G249" t="str">
            <v>0737</v>
          </cell>
          <cell r="H249" t="str">
            <v>GERENCIA TERRITORIAL MIRAFLORES SAN BORJA</v>
          </cell>
        </row>
        <row r="250">
          <cell r="A250" t="str">
            <v>0427</v>
          </cell>
          <cell r="B250" t="str">
            <v>E</v>
          </cell>
          <cell r="C250">
            <v>0</v>
          </cell>
          <cell r="D250" t="str">
            <v>OFICINA BOLOGNESI</v>
          </cell>
          <cell r="E250" t="str">
            <v>0427</v>
          </cell>
          <cell r="F250" t="str">
            <v>OFICINA MADRE</v>
          </cell>
          <cell r="G250" t="str">
            <v>0688</v>
          </cell>
          <cell r="H250" t="str">
            <v>GERENCIA TERRITORIAL SUR</v>
          </cell>
        </row>
        <row r="251">
          <cell r="A251" t="str">
            <v>0431</v>
          </cell>
          <cell r="B251" t="str">
            <v>N1</v>
          </cell>
          <cell r="C251">
            <v>40675</v>
          </cell>
          <cell r="D251" t="str">
            <v>OFICINA AV. AREQUIPA</v>
          </cell>
          <cell r="E251" t="str">
            <v>0431</v>
          </cell>
          <cell r="F251" t="str">
            <v>OFICINA MADRE</v>
          </cell>
          <cell r="G251" t="str">
            <v>0674</v>
          </cell>
          <cell r="H251" t="str">
            <v>GERENCIA TERRITORIAL LINCE</v>
          </cell>
        </row>
        <row r="252">
          <cell r="A252" t="str">
            <v>0442</v>
          </cell>
          <cell r="B252" t="str">
            <v>N2</v>
          </cell>
          <cell r="C252">
            <v>41621</v>
          </cell>
          <cell r="D252" t="str">
            <v>OFICINA LAMBAYEQUE</v>
          </cell>
          <cell r="E252" t="str">
            <v>0442</v>
          </cell>
          <cell r="F252" t="str">
            <v>OFICINA MADRE</v>
          </cell>
          <cell r="G252" t="str">
            <v>0668</v>
          </cell>
          <cell r="H252" t="str">
            <v>GERENCIA TERRITORIAL NORTE</v>
          </cell>
        </row>
        <row r="253">
          <cell r="A253" t="str">
            <v>0443</v>
          </cell>
          <cell r="B253" t="str">
            <v>N2</v>
          </cell>
          <cell r="C253">
            <v>41674</v>
          </cell>
          <cell r="D253" t="str">
            <v>OFICINA SANTA CATALINA</v>
          </cell>
          <cell r="E253" t="str">
            <v>0443</v>
          </cell>
          <cell r="F253" t="str">
            <v>OFICINA MADRE</v>
          </cell>
          <cell r="G253" t="str">
            <v>0736</v>
          </cell>
          <cell r="H253" t="str">
            <v>GERENCIA TERRITORIAL LIMA CENTRO</v>
          </cell>
        </row>
        <row r="254">
          <cell r="A254" t="str">
            <v>0467</v>
          </cell>
          <cell r="B254" t="str">
            <v>N2</v>
          </cell>
          <cell r="C254">
            <v>42003</v>
          </cell>
          <cell r="D254" t="str">
            <v>OFICINA GUARDIA CHALACA</v>
          </cell>
          <cell r="E254" t="str">
            <v>0467</v>
          </cell>
          <cell r="F254" t="str">
            <v>OFICINA MADRE</v>
          </cell>
          <cell r="G254" t="str">
            <v>0645</v>
          </cell>
          <cell r="H254" t="str">
            <v>GERENCIA TERRITORIAL CALLAO SAN MIGUEL</v>
          </cell>
        </row>
        <row r="255">
          <cell r="A255" t="str">
            <v>0480</v>
          </cell>
          <cell r="B255" t="str">
            <v>E</v>
          </cell>
          <cell r="C255">
            <v>0</v>
          </cell>
          <cell r="D255" t="str">
            <v>OFICINA LA MARINA</v>
          </cell>
          <cell r="E255" t="str">
            <v>0480</v>
          </cell>
          <cell r="F255" t="str">
            <v>OFICINA MADRE</v>
          </cell>
          <cell r="G255" t="str">
            <v>0645</v>
          </cell>
          <cell r="H255" t="str">
            <v>GERENCIA TERRITORIAL CALLAO SAN MIGUEL</v>
          </cell>
        </row>
        <row r="256">
          <cell r="A256" t="str">
            <v>0482</v>
          </cell>
          <cell r="B256" t="str">
            <v>E</v>
          </cell>
          <cell r="C256">
            <v>0</v>
          </cell>
          <cell r="D256" t="str">
            <v>OFICINA PLAZA UNION</v>
          </cell>
          <cell r="E256" t="str">
            <v>0482</v>
          </cell>
          <cell r="F256" t="str">
            <v>OFICINA MADRE</v>
          </cell>
          <cell r="G256" t="str">
            <v>0736</v>
          </cell>
          <cell r="H256" t="str">
            <v>GERENCIA TERRITORIAL LIMA CENTRO</v>
          </cell>
        </row>
        <row r="257">
          <cell r="A257" t="str">
            <v>0484</v>
          </cell>
          <cell r="B257" t="str">
            <v>E</v>
          </cell>
          <cell r="C257">
            <v>0</v>
          </cell>
          <cell r="D257" t="str">
            <v>OFICINA HUAYCAN</v>
          </cell>
          <cell r="E257" t="str">
            <v>0484</v>
          </cell>
          <cell r="F257" t="str">
            <v>OFICINA MADRE</v>
          </cell>
          <cell r="G257" t="str">
            <v>0630</v>
          </cell>
          <cell r="H257" t="str">
            <v>GERENCIA TERRITORIAL LIMA SUR</v>
          </cell>
        </row>
        <row r="258">
          <cell r="A258" t="str">
            <v>0486</v>
          </cell>
          <cell r="B258" t="str">
            <v>A+</v>
          </cell>
          <cell r="C258">
            <v>0</v>
          </cell>
          <cell r="D258" t="str">
            <v>OFICINA SAN ISIDRO</v>
          </cell>
          <cell r="E258" t="str">
            <v>0486</v>
          </cell>
          <cell r="F258" t="str">
            <v>OFICINA MADRE</v>
          </cell>
          <cell r="G258">
            <v>0</v>
          </cell>
          <cell r="H258">
            <v>0</v>
          </cell>
        </row>
        <row r="259">
          <cell r="A259" t="str">
            <v>0508</v>
          </cell>
          <cell r="B259" t="str">
            <v>N1</v>
          </cell>
          <cell r="C259">
            <v>40490</v>
          </cell>
          <cell r="D259" t="str">
            <v>OFICINA OPEN PLAZA ANGAMOS</v>
          </cell>
          <cell r="E259" t="str">
            <v>0508</v>
          </cell>
          <cell r="F259" t="str">
            <v>OFICINA MADRE</v>
          </cell>
          <cell r="G259" t="str">
            <v>0737</v>
          </cell>
          <cell r="H259" t="str">
            <v>GERENCIA TERRITORIAL MIRAFLORES SAN BORJA</v>
          </cell>
        </row>
        <row r="260">
          <cell r="A260" t="str">
            <v>0518</v>
          </cell>
          <cell r="B260" t="str">
            <v>N1</v>
          </cell>
          <cell r="C260">
            <v>40765</v>
          </cell>
          <cell r="D260" t="str">
            <v>OFICINA VELASCO ASTETE</v>
          </cell>
          <cell r="E260" t="str">
            <v>0518</v>
          </cell>
          <cell r="F260" t="str">
            <v>OFICINA MADRE</v>
          </cell>
          <cell r="G260">
            <v>3133</v>
          </cell>
          <cell r="H260" t="str">
            <v>GERENCIA TERRITORIAL SURCO LA MOLINA</v>
          </cell>
        </row>
        <row r="261">
          <cell r="A261" t="str">
            <v>0521</v>
          </cell>
          <cell r="B261" t="str">
            <v>N1</v>
          </cell>
          <cell r="C261">
            <v>40770</v>
          </cell>
          <cell r="D261" t="str">
            <v>OFICINA PROCERES</v>
          </cell>
          <cell r="E261" t="str">
            <v>0521</v>
          </cell>
          <cell r="F261" t="str">
            <v>OFICINA MADRE</v>
          </cell>
          <cell r="G261" t="str">
            <v>0630</v>
          </cell>
          <cell r="H261" t="str">
            <v>GERENCIA TERRITORIAL LIMA SUR</v>
          </cell>
        </row>
        <row r="262">
          <cell r="A262" t="str">
            <v>0524</v>
          </cell>
          <cell r="B262" t="str">
            <v>N2</v>
          </cell>
          <cell r="C262">
            <v>41001</v>
          </cell>
          <cell r="D262" t="str">
            <v>OFICINA GRIMALDO DEL SOLAR</v>
          </cell>
          <cell r="E262" t="str">
            <v>0524</v>
          </cell>
          <cell r="F262" t="str">
            <v>OFICINA MADRE</v>
          </cell>
          <cell r="G262" t="str">
            <v>0737</v>
          </cell>
          <cell r="H262" t="str">
            <v>GERENCIA TERRITORIAL MIRAFLORES SAN BORJA</v>
          </cell>
        </row>
        <row r="263">
          <cell r="A263" t="str">
            <v>0554</v>
          </cell>
          <cell r="B263" t="str">
            <v>N1</v>
          </cell>
          <cell r="C263">
            <v>40547</v>
          </cell>
          <cell r="D263" t="str">
            <v>OFICINA OPEN PLAZA PIURA</v>
          </cell>
          <cell r="E263" t="str">
            <v>0554</v>
          </cell>
          <cell r="F263" t="str">
            <v>OFICINA MADRE</v>
          </cell>
          <cell r="G263">
            <v>3249</v>
          </cell>
          <cell r="H263" t="str">
            <v>GERENCIA TERRITORIAL NOR ORIENTE</v>
          </cell>
        </row>
        <row r="264">
          <cell r="A264" t="str">
            <v>0564</v>
          </cell>
          <cell r="B264" t="str">
            <v>N1</v>
          </cell>
          <cell r="C264">
            <v>40569</v>
          </cell>
          <cell r="D264" t="str">
            <v>OFICINA PLAZA BUTTERS</v>
          </cell>
          <cell r="E264" t="str">
            <v>0564</v>
          </cell>
          <cell r="F264" t="str">
            <v>OFICINA MADRE</v>
          </cell>
          <cell r="G264" t="str">
            <v>0630</v>
          </cell>
          <cell r="H264" t="str">
            <v>GERENCIA TERRITORIAL LIMA SUR</v>
          </cell>
        </row>
        <row r="265">
          <cell r="A265" t="str">
            <v>0565</v>
          </cell>
          <cell r="B265" t="str">
            <v>N1</v>
          </cell>
          <cell r="C265">
            <v>40542</v>
          </cell>
          <cell r="D265" t="str">
            <v>OFICINA SAN HILARION</v>
          </cell>
          <cell r="E265" t="str">
            <v>0565</v>
          </cell>
          <cell r="F265" t="str">
            <v>OFICINA MADRE</v>
          </cell>
          <cell r="G265">
            <v>3133</v>
          </cell>
          <cell r="H265" t="str">
            <v>GERENCIA TERRITORIAL SURCO LA MOLINA</v>
          </cell>
        </row>
        <row r="266">
          <cell r="A266" t="str">
            <v>0566</v>
          </cell>
          <cell r="B266" t="str">
            <v>N2</v>
          </cell>
          <cell r="C266">
            <v>40826</v>
          </cell>
          <cell r="D266" t="str">
            <v>OFICINA METRO PLAZA CASTILLA</v>
          </cell>
          <cell r="E266" t="str">
            <v>0566</v>
          </cell>
          <cell r="F266" t="str">
            <v>OFICINA MADRE</v>
          </cell>
          <cell r="G266" t="str">
            <v>0736</v>
          </cell>
          <cell r="H266" t="str">
            <v>GERENCIA TERRITORIAL LIMA CENTRO</v>
          </cell>
        </row>
        <row r="267">
          <cell r="A267" t="str">
            <v>0584</v>
          </cell>
          <cell r="B267" t="str">
            <v>N2</v>
          </cell>
          <cell r="C267">
            <v>42059</v>
          </cell>
          <cell r="D267" t="str">
            <v>OFICINA REAL PLAZA JULIACA</v>
          </cell>
          <cell r="E267" t="str">
            <v>0584</v>
          </cell>
          <cell r="F267" t="str">
            <v>OFICINA MADRE</v>
          </cell>
          <cell r="G267" t="str">
            <v>0688</v>
          </cell>
          <cell r="H267" t="str">
            <v>GERENCIA TERRITORIAL SUR</v>
          </cell>
        </row>
        <row r="268">
          <cell r="A268" t="str">
            <v>0588</v>
          </cell>
          <cell r="B268" t="str">
            <v>N2</v>
          </cell>
          <cell r="C268">
            <v>41407</v>
          </cell>
          <cell r="D268" t="str">
            <v>OFICINA EXPRESS CHINCHA</v>
          </cell>
          <cell r="E268" t="str">
            <v>0588</v>
          </cell>
          <cell r="F268" t="str">
            <v>OFICINA MADRE</v>
          </cell>
          <cell r="G268">
            <v>3132</v>
          </cell>
          <cell r="H268" t="str">
            <v>GERENCIA TERRITORIAL NORTE SUR CHICO</v>
          </cell>
        </row>
        <row r="269">
          <cell r="A269" t="str">
            <v>0597</v>
          </cell>
          <cell r="B269" t="str">
            <v>E</v>
          </cell>
          <cell r="C269">
            <v>40969</v>
          </cell>
          <cell r="D269" t="str">
            <v>OFICINA PICHANAQUI</v>
          </cell>
          <cell r="E269" t="str">
            <v>0597</v>
          </cell>
          <cell r="F269" t="str">
            <v>OFICINA MADRE</v>
          </cell>
          <cell r="G269" t="str">
            <v>0665</v>
          </cell>
          <cell r="H269" t="str">
            <v>GERENCIA TERRITORIAL CENTRO</v>
          </cell>
        </row>
        <row r="270">
          <cell r="A270" t="str">
            <v>0609</v>
          </cell>
          <cell r="B270" t="str">
            <v>N2</v>
          </cell>
          <cell r="C270">
            <v>41292</v>
          </cell>
          <cell r="D270" t="str">
            <v>OFICINA SAN RAFAEL</v>
          </cell>
          <cell r="E270" t="str">
            <v>0609</v>
          </cell>
          <cell r="F270" t="str">
            <v>OFICINA MADRE</v>
          </cell>
          <cell r="G270" t="str">
            <v>0736</v>
          </cell>
          <cell r="H270" t="str">
            <v>GERENCIA TERRITORIAL LIMA CENTRO</v>
          </cell>
        </row>
        <row r="271">
          <cell r="A271" t="str">
            <v>0614</v>
          </cell>
          <cell r="B271" t="str">
            <v>N2</v>
          </cell>
          <cell r="C271">
            <v>41127</v>
          </cell>
          <cell r="D271" t="str">
            <v>OFICINA SEPARADORA INDUSTRIAL</v>
          </cell>
          <cell r="E271" t="str">
            <v>0614</v>
          </cell>
          <cell r="F271" t="str">
            <v>OFICINA MADRE</v>
          </cell>
          <cell r="G271" t="str">
            <v>0630</v>
          </cell>
          <cell r="H271" t="str">
            <v>GERENCIA TERRITORIAL LIMA SUR</v>
          </cell>
        </row>
        <row r="272">
          <cell r="A272" t="str">
            <v>0615</v>
          </cell>
          <cell r="B272" t="str">
            <v>N2</v>
          </cell>
          <cell r="C272">
            <v>41108</v>
          </cell>
          <cell r="D272" t="str">
            <v>OFICINA SAN BORJA SUR</v>
          </cell>
          <cell r="E272" t="str">
            <v>0615</v>
          </cell>
          <cell r="F272" t="str">
            <v>OFICINA MADRE</v>
          </cell>
          <cell r="G272" t="str">
            <v>0737</v>
          </cell>
          <cell r="H272" t="str">
            <v>GERENCIA TERRITORIAL MIRAFLORES SAN BORJA</v>
          </cell>
        </row>
        <row r="273">
          <cell r="A273" t="str">
            <v>0616</v>
          </cell>
          <cell r="B273" t="str">
            <v>N2</v>
          </cell>
          <cell r="C273">
            <v>41033</v>
          </cell>
          <cell r="D273" t="str">
            <v>OFICINA ANGAMOS ESTE</v>
          </cell>
          <cell r="E273" t="str">
            <v>0616</v>
          </cell>
          <cell r="F273" t="str">
            <v>OFICINA MADRE</v>
          </cell>
          <cell r="G273" t="str">
            <v>0737</v>
          </cell>
          <cell r="H273" t="str">
            <v>GERENCIA TERRITORIAL MIRAFLORES SAN BORJA</v>
          </cell>
        </row>
        <row r="274">
          <cell r="A274" t="str">
            <v>0619</v>
          </cell>
          <cell r="B274" t="str">
            <v>N2</v>
          </cell>
          <cell r="C274">
            <v>41008</v>
          </cell>
          <cell r="D274" t="str">
            <v>OFICINA EL PORVENIR</v>
          </cell>
          <cell r="E274" t="str">
            <v>0619</v>
          </cell>
          <cell r="F274" t="str">
            <v>OFICINA MADRE</v>
          </cell>
          <cell r="G274" t="str">
            <v>0668</v>
          </cell>
          <cell r="H274" t="str">
            <v>GERENCIA TERRITORIAL NORTE</v>
          </cell>
        </row>
        <row r="275">
          <cell r="A275" t="str">
            <v>0627</v>
          </cell>
          <cell r="B275" t="str">
            <v>A</v>
          </cell>
          <cell r="C275">
            <v>0</v>
          </cell>
          <cell r="D275" t="str">
            <v>OFICINA SEDAPAL (CONTENEDOR)</v>
          </cell>
          <cell r="E275" t="str">
            <v>0183</v>
          </cell>
          <cell r="F275" t="str">
            <v>ESPECIAL OPERATIVA COMERCIAL</v>
          </cell>
          <cell r="G275" t="str">
            <v>0734</v>
          </cell>
          <cell r="H275" t="str">
            <v>GERENCIA TERRITORIAL LIMA RESIDENCIAL</v>
          </cell>
        </row>
        <row r="276">
          <cell r="A276" t="str">
            <v>0628</v>
          </cell>
          <cell r="B276" t="str">
            <v>N2</v>
          </cell>
          <cell r="C276">
            <v>41638</v>
          </cell>
          <cell r="D276" t="str">
            <v>OFICINA SATIPO</v>
          </cell>
          <cell r="E276" t="str">
            <v>0628</v>
          </cell>
          <cell r="F276" t="str">
            <v>OFICINA MADRE</v>
          </cell>
          <cell r="G276" t="str">
            <v>0665</v>
          </cell>
          <cell r="H276" t="str">
            <v>GERENCIA TERRITORIAL CENTRO</v>
          </cell>
        </row>
        <row r="277">
          <cell r="A277" t="str">
            <v>0643</v>
          </cell>
          <cell r="B277" t="str">
            <v>N2</v>
          </cell>
          <cell r="C277">
            <v>41001</v>
          </cell>
          <cell r="D277" t="str">
            <v>OFICINA TARMA</v>
          </cell>
          <cell r="E277" t="str">
            <v>0643</v>
          </cell>
          <cell r="F277" t="str">
            <v>OFICINA MADRE</v>
          </cell>
          <cell r="G277" t="str">
            <v>0665</v>
          </cell>
          <cell r="H277" t="str">
            <v>GERENCIA TERRITORIAL CENTRO</v>
          </cell>
        </row>
        <row r="278">
          <cell r="A278" t="str">
            <v>0648</v>
          </cell>
          <cell r="B278" t="str">
            <v>N2</v>
          </cell>
          <cell r="C278">
            <v>41820</v>
          </cell>
          <cell r="D278" t="str">
            <v>OFICINA CHOTA</v>
          </cell>
          <cell r="E278" t="str">
            <v>0648</v>
          </cell>
          <cell r="F278" t="str">
            <v>OFICINA MADRE</v>
          </cell>
          <cell r="G278" t="str">
            <v>0668</v>
          </cell>
          <cell r="H278" t="str">
            <v>GERENCIA TERRITORIAL NORTE</v>
          </cell>
        </row>
        <row r="279">
          <cell r="A279" t="str">
            <v>0654</v>
          </cell>
          <cell r="B279" t="str">
            <v>N2</v>
          </cell>
          <cell r="C279">
            <v>40763</v>
          </cell>
          <cell r="D279" t="str">
            <v>OFICINA PLAZA DEL SOL DE HUACHO</v>
          </cell>
          <cell r="E279" t="str">
            <v>0654</v>
          </cell>
          <cell r="F279" t="str">
            <v>OFICINA MADRE</v>
          </cell>
          <cell r="G279">
            <v>3132</v>
          </cell>
          <cell r="H279" t="str">
            <v>GERENCIA TERRITORIAL NORTE SUR CHICO</v>
          </cell>
        </row>
        <row r="280">
          <cell r="A280" t="str">
            <v>0659</v>
          </cell>
          <cell r="B280" t="str">
            <v>N2</v>
          </cell>
          <cell r="C280">
            <v>41297</v>
          </cell>
          <cell r="D280" t="str">
            <v>OFICINA SEBASTIAN BARRANCA</v>
          </cell>
          <cell r="E280" t="str">
            <v>0659</v>
          </cell>
          <cell r="F280" t="str">
            <v>OFICINA MADRE</v>
          </cell>
          <cell r="G280" t="str">
            <v>0736</v>
          </cell>
          <cell r="H280" t="str">
            <v>GERENCIA TERRITORIAL LIMA CENTRO</v>
          </cell>
        </row>
        <row r="281">
          <cell r="A281" t="str">
            <v>0667</v>
          </cell>
          <cell r="B281" t="str">
            <v>N2</v>
          </cell>
          <cell r="C281">
            <v>41284</v>
          </cell>
          <cell r="D281" t="str">
            <v>OFICINA REAL PLAZA PIURA</v>
          </cell>
          <cell r="E281" t="str">
            <v>0667</v>
          </cell>
          <cell r="F281" t="str">
            <v>OFICINA MADRE</v>
          </cell>
          <cell r="G281">
            <v>3249</v>
          </cell>
          <cell r="H281" t="str">
            <v>GERENCIA TERRITORIAL NOR ORIENTE</v>
          </cell>
        </row>
        <row r="282">
          <cell r="A282" t="str">
            <v>0712</v>
          </cell>
          <cell r="B282" t="str">
            <v>N2</v>
          </cell>
          <cell r="C282">
            <v>41169</v>
          </cell>
          <cell r="D282" t="str">
            <v>OFICINA MALL AVENTURA PLAZA SANTA ANITA</v>
          </cell>
          <cell r="E282" t="str">
            <v>0712</v>
          </cell>
          <cell r="F282" t="str">
            <v>OFICINA MADRE</v>
          </cell>
          <cell r="G282" t="str">
            <v>0734</v>
          </cell>
          <cell r="H282" t="str">
            <v>GERENCIA TERRITORIAL LIMA RESIDENCIAL</v>
          </cell>
        </row>
        <row r="283">
          <cell r="A283" t="str">
            <v>0713</v>
          </cell>
          <cell r="B283" t="str">
            <v>N1</v>
          </cell>
          <cell r="C283">
            <v>40578</v>
          </cell>
          <cell r="D283" t="str">
            <v>OFICINA CAMINOS DEL INCA</v>
          </cell>
          <cell r="E283" t="str">
            <v>0713</v>
          </cell>
          <cell r="F283" t="str">
            <v>OFICINA MADRE</v>
          </cell>
          <cell r="G283">
            <v>3133</v>
          </cell>
          <cell r="H283" t="str">
            <v>GERENCIA TERRITORIAL SURCO LA MOLINA</v>
          </cell>
        </row>
        <row r="284">
          <cell r="A284" t="str">
            <v>0716</v>
          </cell>
          <cell r="B284" t="str">
            <v>N1</v>
          </cell>
          <cell r="C284">
            <v>40856</v>
          </cell>
          <cell r="D284" t="str">
            <v>OFICINA SANTA CRUZ</v>
          </cell>
          <cell r="E284" t="str">
            <v>0716</v>
          </cell>
          <cell r="F284" t="str">
            <v>OFICINA MADRE</v>
          </cell>
          <cell r="G284" t="str">
            <v>0737</v>
          </cell>
          <cell r="H284" t="str">
            <v>GERENCIA TERRITORIAL MIRAFLORES SAN BORJA</v>
          </cell>
        </row>
        <row r="285">
          <cell r="A285" t="str">
            <v>0717</v>
          </cell>
          <cell r="B285" t="str">
            <v>N1</v>
          </cell>
          <cell r="C285">
            <v>40560</v>
          </cell>
          <cell r="D285" t="str">
            <v>OFICINA JOSE LUIS BUSTAMANTE Y RIVERO</v>
          </cell>
          <cell r="E285" t="str">
            <v>0717</v>
          </cell>
          <cell r="F285" t="str">
            <v>OFICINA MADRE</v>
          </cell>
          <cell r="G285" t="str">
            <v>0688</v>
          </cell>
          <cell r="H285" t="str">
            <v>GERENCIA TERRITORIAL SUR</v>
          </cell>
        </row>
        <row r="286">
          <cell r="A286" t="str">
            <v>0729</v>
          </cell>
          <cell r="B286" t="str">
            <v>N1</v>
          </cell>
          <cell r="C286">
            <v>40569</v>
          </cell>
          <cell r="D286" t="str">
            <v>OFICINA JOSE GALVEZ</v>
          </cell>
          <cell r="E286" t="str">
            <v>0729</v>
          </cell>
          <cell r="F286" t="str">
            <v>OFICINA MADRE</v>
          </cell>
          <cell r="G286" t="str">
            <v>0630</v>
          </cell>
          <cell r="H286" t="str">
            <v>GERENCIA TERRITORIAL LIMA SUR</v>
          </cell>
        </row>
        <row r="287">
          <cell r="A287" t="str">
            <v>0732</v>
          </cell>
          <cell r="B287" t="str">
            <v>N2</v>
          </cell>
          <cell r="C287">
            <v>40994</v>
          </cell>
          <cell r="D287" t="str">
            <v>OFICINA SALAVERRY</v>
          </cell>
          <cell r="E287" t="str">
            <v>0732</v>
          </cell>
          <cell r="F287" t="str">
            <v>OFICINA MADRE</v>
          </cell>
          <cell r="G287" t="str">
            <v>0674</v>
          </cell>
          <cell r="H287" t="str">
            <v>GERENCIA TERRITORIAL LINCE</v>
          </cell>
        </row>
        <row r="288">
          <cell r="A288" t="str">
            <v>0733</v>
          </cell>
          <cell r="B288" t="str">
            <v>N1</v>
          </cell>
          <cell r="C288">
            <v>40556</v>
          </cell>
          <cell r="D288" t="str">
            <v>OFICINA PALAO</v>
          </cell>
          <cell r="E288" t="str">
            <v>0733</v>
          </cell>
          <cell r="F288" t="str">
            <v>OFICINA MADRE</v>
          </cell>
          <cell r="G288" t="str">
            <v>0674</v>
          </cell>
          <cell r="H288" t="str">
            <v>GERENCIA TERRITORIAL LINCE</v>
          </cell>
        </row>
        <row r="289">
          <cell r="A289" t="str">
            <v>0747</v>
          </cell>
          <cell r="B289" t="str">
            <v>N2</v>
          </cell>
          <cell r="C289">
            <v>0</v>
          </cell>
          <cell r="D289" t="str">
            <v>OFICINA COLLIQUE</v>
          </cell>
          <cell r="E289" t="str">
            <v>0143</v>
          </cell>
          <cell r="F289" t="str">
            <v>ESPECIAL COMERCIAL</v>
          </cell>
          <cell r="G289" t="str">
            <v>0645</v>
          </cell>
          <cell r="H289" t="str">
            <v>GERENCIA TERRITORIAL CALLAO SAN MIGUEL</v>
          </cell>
        </row>
        <row r="290">
          <cell r="A290" t="str">
            <v>0748</v>
          </cell>
          <cell r="B290" t="str">
            <v>N2</v>
          </cell>
          <cell r="C290">
            <v>41297</v>
          </cell>
          <cell r="D290" t="str">
            <v>OFICINA GRAU</v>
          </cell>
          <cell r="E290" t="str">
            <v>0748</v>
          </cell>
          <cell r="F290" t="str">
            <v>OFICINA MADRE</v>
          </cell>
          <cell r="G290" t="str">
            <v>0736</v>
          </cell>
          <cell r="H290" t="str">
            <v>GERENCIA TERRITORIAL LIMA CENTRO</v>
          </cell>
        </row>
        <row r="291">
          <cell r="A291" t="str">
            <v>0749</v>
          </cell>
          <cell r="B291" t="str">
            <v>E</v>
          </cell>
          <cell r="C291">
            <v>0</v>
          </cell>
          <cell r="D291" t="str">
            <v>OFICINA PROSEGUR</v>
          </cell>
          <cell r="E291" t="str">
            <v>0749</v>
          </cell>
          <cell r="F291" t="str">
            <v>OFICINA MADRE</v>
          </cell>
          <cell r="G291" t="str">
            <v>0630</v>
          </cell>
          <cell r="H291" t="str">
            <v>GERENCIA TERRITORIAL LIMA SUR</v>
          </cell>
        </row>
        <row r="292">
          <cell r="A292" t="str">
            <v>0750</v>
          </cell>
          <cell r="B292" t="str">
            <v>N1</v>
          </cell>
          <cell r="C292">
            <v>40526</v>
          </cell>
          <cell r="D292" t="str">
            <v>OFICINA REAL PLAZA SANTA CLARA</v>
          </cell>
          <cell r="E292" t="str">
            <v>0750</v>
          </cell>
          <cell r="F292" t="str">
            <v>OFICINA MADRE</v>
          </cell>
          <cell r="G292" t="str">
            <v>0630</v>
          </cell>
          <cell r="H292" t="str">
            <v>GERENCIA TERRITORIAL LIMA SUR</v>
          </cell>
        </row>
        <row r="293">
          <cell r="A293" t="str">
            <v>0751</v>
          </cell>
          <cell r="B293" t="str">
            <v>N1</v>
          </cell>
          <cell r="C293">
            <v>40896</v>
          </cell>
          <cell r="D293" t="str">
            <v>OFICINA EL TRIGAL</v>
          </cell>
          <cell r="E293" t="str">
            <v>0751</v>
          </cell>
          <cell r="F293" t="str">
            <v>OFICINA MADRE</v>
          </cell>
          <cell r="G293" t="str">
            <v>0630</v>
          </cell>
          <cell r="H293" t="str">
            <v>GERENCIA TERRITORIAL LIMA SUR</v>
          </cell>
        </row>
        <row r="294">
          <cell r="A294" t="str">
            <v>0752</v>
          </cell>
          <cell r="B294" t="str">
            <v>N1</v>
          </cell>
          <cell r="C294">
            <v>40849</v>
          </cell>
          <cell r="D294" t="str">
            <v>OFICINA SAN FELIPE COMAS</v>
          </cell>
          <cell r="E294" t="str">
            <v>0752</v>
          </cell>
          <cell r="F294" t="str">
            <v>OFICINA MADRE</v>
          </cell>
          <cell r="G294">
            <v>3132</v>
          </cell>
          <cell r="H294" t="str">
            <v>GERENCIA TERRITORIAL NORTE SUR CHICO</v>
          </cell>
        </row>
        <row r="295">
          <cell r="A295" t="str">
            <v>0755</v>
          </cell>
          <cell r="B295" t="str">
            <v>A+</v>
          </cell>
          <cell r="C295">
            <v>0</v>
          </cell>
          <cell r="D295" t="str">
            <v>OFICINA UNIVERSIDAD SAN PABLO</v>
          </cell>
          <cell r="E295" t="str">
            <v>0220</v>
          </cell>
          <cell r="F295" t="str">
            <v>ESPECIAL OPERATIVA</v>
          </cell>
          <cell r="G295" t="str">
            <v>0688</v>
          </cell>
          <cell r="H295" t="str">
            <v>GERENCIA TERRITORIAL SUR</v>
          </cell>
        </row>
        <row r="296">
          <cell r="A296" t="str">
            <v>0760</v>
          </cell>
          <cell r="B296" t="str">
            <v>N2</v>
          </cell>
          <cell r="C296">
            <v>41043</v>
          </cell>
          <cell r="D296" t="str">
            <v>OFICINA LA FLORESTA</v>
          </cell>
          <cell r="E296" t="str">
            <v>0760</v>
          </cell>
          <cell r="F296" t="str">
            <v>OFICINA MADRE</v>
          </cell>
          <cell r="G296">
            <v>3133</v>
          </cell>
          <cell r="H296" t="str">
            <v>GERENCIA TERRITORIAL SURCO LA MOLINA</v>
          </cell>
        </row>
        <row r="297">
          <cell r="A297" t="str">
            <v>0763</v>
          </cell>
          <cell r="B297" t="str">
            <v>N2</v>
          </cell>
          <cell r="C297">
            <v>40585</v>
          </cell>
          <cell r="D297" t="str">
            <v>OFICINA PEDREGAL</v>
          </cell>
          <cell r="E297" t="str">
            <v>0763</v>
          </cell>
          <cell r="F297" t="str">
            <v>OFICINA MADRE</v>
          </cell>
          <cell r="G297" t="str">
            <v>0688</v>
          </cell>
          <cell r="H297" t="str">
            <v>GERENCIA TERRITORIAL SUR</v>
          </cell>
        </row>
        <row r="298">
          <cell r="A298" t="str">
            <v>0764</v>
          </cell>
          <cell r="B298" t="str">
            <v>N1</v>
          </cell>
          <cell r="C298">
            <v>40560</v>
          </cell>
          <cell r="D298" t="str">
            <v>OFICINA MALL AVENTURA PLAZA AREQUIPA</v>
          </cell>
          <cell r="E298" t="str">
            <v>0764</v>
          </cell>
          <cell r="F298" t="str">
            <v>OFICINA MADRE</v>
          </cell>
          <cell r="G298" t="str">
            <v>0688</v>
          </cell>
          <cell r="H298" t="str">
            <v>GERENCIA TERRITORIAL SUR</v>
          </cell>
        </row>
        <row r="299">
          <cell r="A299" t="str">
            <v>0778</v>
          </cell>
          <cell r="B299" t="str">
            <v>N2</v>
          </cell>
          <cell r="C299">
            <v>41477</v>
          </cell>
          <cell r="D299" t="str">
            <v>OFICINA CERRO COLORADO</v>
          </cell>
          <cell r="E299" t="str">
            <v>0778</v>
          </cell>
          <cell r="F299" t="str">
            <v>OFICINA MADRE</v>
          </cell>
          <cell r="G299" t="str">
            <v>0688</v>
          </cell>
          <cell r="H299" t="str">
            <v>GERENCIA TERRITORIAL SUR</v>
          </cell>
        </row>
        <row r="300">
          <cell r="A300" t="str">
            <v>0782</v>
          </cell>
          <cell r="B300" t="str">
            <v>N2</v>
          </cell>
          <cell r="C300">
            <v>41660</v>
          </cell>
          <cell r="D300" t="str">
            <v>OFICINA NUEVA MOROCOCHA</v>
          </cell>
          <cell r="E300" t="str">
            <v>0236</v>
          </cell>
          <cell r="F300" t="str">
            <v>ESPECIAL COMERCIAL</v>
          </cell>
          <cell r="G300" t="str">
            <v>0665</v>
          </cell>
          <cell r="H300" t="str">
            <v>GERENCIA TERRITORIAL CENTRO</v>
          </cell>
        </row>
        <row r="301">
          <cell r="A301" t="str">
            <v>0787</v>
          </cell>
          <cell r="B301" t="str">
            <v>N1</v>
          </cell>
          <cell r="C301">
            <v>40591</v>
          </cell>
          <cell r="D301" t="str">
            <v>OFICINA MONTEGRANDE</v>
          </cell>
          <cell r="E301" t="str">
            <v>0787</v>
          </cell>
          <cell r="F301" t="str">
            <v>OFICINA MADRE</v>
          </cell>
          <cell r="G301">
            <v>3133</v>
          </cell>
          <cell r="H301" t="str">
            <v>GERENCIA TERRITORIAL SURCO LA MOLINA</v>
          </cell>
        </row>
        <row r="302">
          <cell r="A302" t="str">
            <v>0791</v>
          </cell>
          <cell r="B302" t="str">
            <v>N2</v>
          </cell>
          <cell r="C302">
            <v>41057</v>
          </cell>
          <cell r="D302" t="str">
            <v>OFICINA LA ROTONDA</v>
          </cell>
          <cell r="E302" t="str">
            <v>0791</v>
          </cell>
          <cell r="F302" t="str">
            <v>OFICINA MADRE</v>
          </cell>
          <cell r="G302">
            <v>3133</v>
          </cell>
          <cell r="H302" t="str">
            <v>GERENCIA TERRITORIAL SURCO LA MOLINA</v>
          </cell>
        </row>
        <row r="303">
          <cell r="A303" t="str">
            <v>0792</v>
          </cell>
          <cell r="B303" t="str">
            <v>N1</v>
          </cell>
          <cell r="C303">
            <v>39814</v>
          </cell>
          <cell r="D303" t="str">
            <v>OFICINA NACIONES UNIDAS</v>
          </cell>
          <cell r="E303" t="str">
            <v>0792</v>
          </cell>
          <cell r="F303" t="str">
            <v>OFICINA MADRE</v>
          </cell>
          <cell r="G303" t="str">
            <v>0674</v>
          </cell>
          <cell r="H303" t="str">
            <v>GERENCIA TERRITORIAL LINCE</v>
          </cell>
        </row>
        <row r="304">
          <cell r="A304" t="str">
            <v>0796</v>
          </cell>
          <cell r="B304" t="str">
            <v>N1</v>
          </cell>
          <cell r="C304">
            <v>40576</v>
          </cell>
          <cell r="D304" t="str">
            <v>OFICINA METRO SANTA ELENA</v>
          </cell>
          <cell r="E304" t="str">
            <v>0796</v>
          </cell>
          <cell r="F304" t="str">
            <v>OFICINA MADRE</v>
          </cell>
          <cell r="G304" t="str">
            <v>0668</v>
          </cell>
          <cell r="H304" t="str">
            <v>GERENCIA TERRITORIAL NORTE</v>
          </cell>
        </row>
        <row r="305">
          <cell r="A305" t="str">
            <v>0797</v>
          </cell>
          <cell r="B305" t="str">
            <v>N2</v>
          </cell>
          <cell r="C305">
            <v>42149</v>
          </cell>
          <cell r="D305" t="str">
            <v>BARRIO COMERCIO</v>
          </cell>
          <cell r="E305" t="str">
            <v>0797</v>
          </cell>
          <cell r="F305" t="str">
            <v>OFICINA MADRE</v>
          </cell>
          <cell r="G305">
            <v>3249</v>
          </cell>
          <cell r="H305" t="str">
            <v>GERENCIA TERRITORIAL NOR ORIENTE</v>
          </cell>
        </row>
        <row r="306">
          <cell r="A306" t="str">
            <v>0827</v>
          </cell>
          <cell r="B306" t="str">
            <v>N2</v>
          </cell>
          <cell r="C306">
            <v>41508</v>
          </cell>
          <cell r="D306" t="str">
            <v>OFICINA PLAZA DE ARMAS HUANUCO</v>
          </cell>
          <cell r="E306" t="str">
            <v>0827</v>
          </cell>
          <cell r="F306" t="str">
            <v>OFICINA MADRE</v>
          </cell>
          <cell r="G306" t="str">
            <v>0665</v>
          </cell>
          <cell r="H306" t="str">
            <v>GERENCIA TERRITORIAL CENTRO</v>
          </cell>
        </row>
        <row r="307">
          <cell r="A307" t="str">
            <v>0832</v>
          </cell>
          <cell r="B307" t="str">
            <v>N2</v>
          </cell>
          <cell r="C307">
            <v>40907</v>
          </cell>
          <cell r="D307" t="str">
            <v>OFICINA EL SOL</v>
          </cell>
          <cell r="E307" t="str">
            <v>0832</v>
          </cell>
          <cell r="F307" t="str">
            <v>OFICINA MADRE</v>
          </cell>
          <cell r="G307">
            <v>3133</v>
          </cell>
          <cell r="H307" t="str">
            <v>GERENCIA TERRITORIAL SURCO LA MOLINA</v>
          </cell>
        </row>
        <row r="308">
          <cell r="A308" t="str">
            <v>0841</v>
          </cell>
          <cell r="B308" t="str">
            <v>C</v>
          </cell>
          <cell r="C308">
            <v>0</v>
          </cell>
          <cell r="D308" t="str">
            <v>OFICINA ESPECIAL SENATI</v>
          </cell>
          <cell r="E308" t="str">
            <v>0176</v>
          </cell>
          <cell r="F308" t="str">
            <v>ESPECIAL COMERCIAL</v>
          </cell>
          <cell r="G308" t="str">
            <v>0734</v>
          </cell>
          <cell r="H308" t="str">
            <v>GERENCIA TERRITORIAL LIMA RESIDENCIAL</v>
          </cell>
        </row>
        <row r="309">
          <cell r="A309" t="str">
            <v>0842</v>
          </cell>
          <cell r="B309" t="str">
            <v>N2</v>
          </cell>
          <cell r="C309">
            <v>40940</v>
          </cell>
          <cell r="D309" t="str">
            <v>OFICINA CARABAYLLO</v>
          </cell>
          <cell r="E309" t="str">
            <v>0842</v>
          </cell>
          <cell r="F309" t="str">
            <v>OFICINA MADRE</v>
          </cell>
          <cell r="G309">
            <v>3132</v>
          </cell>
          <cell r="H309" t="str">
            <v>GERENCIA TERRITORIAL NORTE SUR CHICO</v>
          </cell>
        </row>
        <row r="310">
          <cell r="A310" t="str">
            <v>0843</v>
          </cell>
          <cell r="B310" t="str">
            <v>N2</v>
          </cell>
          <cell r="C310">
            <v>40771</v>
          </cell>
          <cell r="D310" t="str">
            <v>OFICINA OVALO PAPAL</v>
          </cell>
          <cell r="E310" t="str">
            <v>0843</v>
          </cell>
          <cell r="F310" t="str">
            <v>OFICINA MADRE</v>
          </cell>
          <cell r="G310" t="str">
            <v>0668</v>
          </cell>
          <cell r="H310" t="str">
            <v>GERENCIA TERRITORIAL NORTE</v>
          </cell>
        </row>
        <row r="311">
          <cell r="A311" t="str">
            <v>0847</v>
          </cell>
          <cell r="B311" t="str">
            <v>N2</v>
          </cell>
          <cell r="C311">
            <v>41031</v>
          </cell>
          <cell r="D311" t="str">
            <v>OFICINA EL RETABLO</v>
          </cell>
          <cell r="E311" t="str">
            <v>0847</v>
          </cell>
          <cell r="F311" t="str">
            <v>OFICINA MADRE</v>
          </cell>
          <cell r="G311" t="str">
            <v>0645</v>
          </cell>
          <cell r="H311" t="str">
            <v>GERENCIA TERRITORIAL CALLAO SAN MIGUEL</v>
          </cell>
        </row>
        <row r="312">
          <cell r="A312" t="str">
            <v>0849</v>
          </cell>
          <cell r="B312" t="str">
            <v>N2</v>
          </cell>
          <cell r="C312">
            <v>41032</v>
          </cell>
          <cell r="D312" t="str">
            <v>OFICINA CEDROS DE VILLA</v>
          </cell>
          <cell r="E312" t="str">
            <v>0849</v>
          </cell>
          <cell r="F312" t="str">
            <v>OFICINA MADRE</v>
          </cell>
          <cell r="G312" t="str">
            <v>0630</v>
          </cell>
          <cell r="H312" t="str">
            <v>GERENCIA TERRITORIAL LIMA SUR</v>
          </cell>
        </row>
        <row r="313">
          <cell r="A313" t="str">
            <v>0852</v>
          </cell>
          <cell r="B313" t="str">
            <v>N2</v>
          </cell>
          <cell r="C313">
            <v>42089</v>
          </cell>
          <cell r="D313" t="str">
            <v>OFICINA PARQUE PIURA</v>
          </cell>
          <cell r="E313" t="str">
            <v>0852</v>
          </cell>
          <cell r="F313" t="str">
            <v>OFICINA MADRE</v>
          </cell>
          <cell r="G313" t="str">
            <v>0737</v>
          </cell>
          <cell r="H313" t="str">
            <v>GERENCIA TERRITORIAL MIRAFLORES SAN BORJA</v>
          </cell>
        </row>
        <row r="314">
          <cell r="A314" t="str">
            <v>0857</v>
          </cell>
          <cell r="B314" t="str">
            <v>N2</v>
          </cell>
          <cell r="C314">
            <v>41033</v>
          </cell>
          <cell r="D314" t="str">
            <v>OFICINA VALLE SHARON</v>
          </cell>
          <cell r="E314" t="str">
            <v>0857</v>
          </cell>
          <cell r="F314" t="str">
            <v>OFICINA MADRE</v>
          </cell>
          <cell r="G314" t="str">
            <v>0630</v>
          </cell>
          <cell r="H314" t="str">
            <v>GERENCIA TERRITORIAL LIMA SUR</v>
          </cell>
        </row>
        <row r="315">
          <cell r="A315" t="str">
            <v>0868</v>
          </cell>
          <cell r="B315" t="str">
            <v>N2</v>
          </cell>
          <cell r="C315">
            <v>41050</v>
          </cell>
          <cell r="D315" t="str">
            <v>OFICINA MALA</v>
          </cell>
          <cell r="E315" t="str">
            <v>0868</v>
          </cell>
          <cell r="F315" t="str">
            <v>OFICINA MADRE</v>
          </cell>
          <cell r="G315">
            <v>3132</v>
          </cell>
          <cell r="H315" t="str">
            <v>GERENCIA TERRITORIAL NORTE SUR CHICO</v>
          </cell>
        </row>
        <row r="316">
          <cell r="A316" t="str">
            <v>0870</v>
          </cell>
          <cell r="B316" t="str">
            <v>N1</v>
          </cell>
          <cell r="C316">
            <v>40546</v>
          </cell>
          <cell r="D316" t="str">
            <v>OFICINA PARQUE LAMBRAMANI</v>
          </cell>
          <cell r="E316" t="str">
            <v>0764</v>
          </cell>
          <cell r="F316" t="str">
            <v>ESPECIAL COMERCIAL</v>
          </cell>
          <cell r="G316" t="str">
            <v>0688</v>
          </cell>
          <cell r="H316" t="str">
            <v>GERENCIA TERRITORIAL SUR</v>
          </cell>
        </row>
        <row r="317">
          <cell r="A317" t="str">
            <v>0872</v>
          </cell>
          <cell r="B317" t="str">
            <v>N1</v>
          </cell>
          <cell r="C317">
            <v>40582</v>
          </cell>
          <cell r="D317" t="str">
            <v>OFICINA PARQUE DE LA AMISTAD</v>
          </cell>
          <cell r="E317" t="str">
            <v>0872</v>
          </cell>
          <cell r="F317" t="str">
            <v>OFICINA MADRE</v>
          </cell>
          <cell r="G317" t="str">
            <v>0630</v>
          </cell>
          <cell r="H317" t="str">
            <v>GERENCIA TERRITORIAL LIMA SUR</v>
          </cell>
        </row>
        <row r="318">
          <cell r="A318" t="str">
            <v>0873</v>
          </cell>
          <cell r="B318" t="str">
            <v>N2</v>
          </cell>
          <cell r="C318">
            <v>41079</v>
          </cell>
          <cell r="D318" t="str">
            <v>OFICINA LA CAMPIÑA</v>
          </cell>
          <cell r="E318" t="str">
            <v>0873</v>
          </cell>
          <cell r="F318" t="str">
            <v>OFICINA MADRE</v>
          </cell>
          <cell r="G318" t="str">
            <v>0630</v>
          </cell>
          <cell r="H318" t="str">
            <v>GERENCIA TERRITORIAL LIMA SUR</v>
          </cell>
        </row>
        <row r="319">
          <cell r="A319" t="str">
            <v>0875</v>
          </cell>
          <cell r="B319" t="str">
            <v>B</v>
          </cell>
          <cell r="C319">
            <v>0</v>
          </cell>
          <cell r="D319" t="str">
            <v>OFICINA DP WORLD</v>
          </cell>
          <cell r="E319" t="str">
            <v>0102</v>
          </cell>
          <cell r="F319" t="str">
            <v>ESPECIAL OPERATIVA</v>
          </cell>
          <cell r="G319" t="str">
            <v>0645</v>
          </cell>
          <cell r="H319" t="str">
            <v>GERENCIA TERRITORIAL CALLAO SAN MIGUEL</v>
          </cell>
        </row>
        <row r="320">
          <cell r="A320" t="str">
            <v>0876</v>
          </cell>
          <cell r="B320" t="str">
            <v>N2</v>
          </cell>
          <cell r="C320">
            <v>41045</v>
          </cell>
          <cell r="D320" t="str">
            <v>OFICINA JAVIER PRADO OESTE</v>
          </cell>
          <cell r="E320" t="str">
            <v>0876</v>
          </cell>
          <cell r="F320" t="str">
            <v>OFICINA MADRE</v>
          </cell>
          <cell r="G320" t="str">
            <v>0674</v>
          </cell>
          <cell r="H320" t="str">
            <v>GERENCIA TERRITORIAL LINCE</v>
          </cell>
        </row>
        <row r="321">
          <cell r="A321" t="str">
            <v>0879</v>
          </cell>
          <cell r="B321" t="str">
            <v>N2</v>
          </cell>
          <cell r="C321" t="str">
            <v>15/12/2014</v>
          </cell>
          <cell r="D321" t="str">
            <v>OFICINA LA ENCALADA</v>
          </cell>
          <cell r="E321" t="str">
            <v>0879</v>
          </cell>
          <cell r="F321" t="str">
            <v>OFICINA MADRE</v>
          </cell>
          <cell r="G321">
            <v>3133</v>
          </cell>
          <cell r="H321" t="str">
            <v>GERENCIA TERRITORIAL SURCO LA MOLINA</v>
          </cell>
        </row>
        <row r="322">
          <cell r="A322" t="str">
            <v>0891</v>
          </cell>
          <cell r="B322" t="str">
            <v>N2</v>
          </cell>
          <cell r="C322">
            <v>41820</v>
          </cell>
          <cell r="D322" t="str">
            <v>OFICINA EXPRESS RIOJA</v>
          </cell>
          <cell r="E322" t="str">
            <v>0891</v>
          </cell>
          <cell r="F322" t="str">
            <v>OFICINA MADRE</v>
          </cell>
          <cell r="G322">
            <v>3249</v>
          </cell>
          <cell r="H322" t="str">
            <v>GERENCIA TERRITORIAL NOR ORIENTE</v>
          </cell>
        </row>
        <row r="323">
          <cell r="A323" t="str">
            <v>0900</v>
          </cell>
          <cell r="B323" t="str">
            <v>D</v>
          </cell>
          <cell r="C323">
            <v>0</v>
          </cell>
          <cell r="D323" t="str">
            <v>OFICINA MALL PLAZA TRUJILLO</v>
          </cell>
          <cell r="E323" t="str">
            <v>0900</v>
          </cell>
          <cell r="F323" t="str">
            <v>OFICINA MADRE</v>
          </cell>
          <cell r="G323" t="str">
            <v>0668</v>
          </cell>
          <cell r="H323" t="str">
            <v>GERENCIA TERRITORIAL NORTE</v>
          </cell>
        </row>
        <row r="324">
          <cell r="A324" t="str">
            <v>0908</v>
          </cell>
          <cell r="B324" t="str">
            <v>N2</v>
          </cell>
          <cell r="C324">
            <v>41662</v>
          </cell>
          <cell r="D324" t="str">
            <v>OFICINA YANAHUARA</v>
          </cell>
          <cell r="E324" t="str">
            <v>0908</v>
          </cell>
          <cell r="F324" t="str">
            <v>OFICINA MADRE</v>
          </cell>
          <cell r="G324" t="str">
            <v>0688</v>
          </cell>
          <cell r="H324" t="str">
            <v>GERENCIA TERRITORIAL SUR</v>
          </cell>
        </row>
        <row r="325">
          <cell r="A325" t="str">
            <v>0918</v>
          </cell>
          <cell r="B325" t="str">
            <v>E</v>
          </cell>
          <cell r="C325">
            <v>0</v>
          </cell>
          <cell r="D325" t="str">
            <v>OFICINA REAL PLAZA TRUJILLO</v>
          </cell>
          <cell r="E325" t="str">
            <v>0918</v>
          </cell>
          <cell r="F325" t="str">
            <v>OFICINA MADRE</v>
          </cell>
          <cell r="G325" t="str">
            <v>0668</v>
          </cell>
          <cell r="H325" t="str">
            <v>GERENCIA TERRITORIAL NORTE</v>
          </cell>
        </row>
        <row r="326">
          <cell r="A326" t="str">
            <v>0921</v>
          </cell>
          <cell r="B326" t="str">
            <v>E</v>
          </cell>
          <cell r="C326">
            <v>0</v>
          </cell>
          <cell r="D326" t="str">
            <v>OFICINA LIMA CARGO CITY</v>
          </cell>
          <cell r="E326" t="str">
            <v>0921</v>
          </cell>
          <cell r="F326" t="str">
            <v>OFICINA MADRE</v>
          </cell>
          <cell r="G326" t="str">
            <v>0645</v>
          </cell>
          <cell r="H326" t="str">
            <v>GERENCIA TERRITORIAL CALLAO SAN MIGUEL</v>
          </cell>
        </row>
        <row r="327">
          <cell r="A327" t="str">
            <v>0933</v>
          </cell>
          <cell r="B327" t="str">
            <v>E</v>
          </cell>
          <cell r="C327">
            <v>0</v>
          </cell>
          <cell r="D327" t="str">
            <v>OFICINA LURIN</v>
          </cell>
          <cell r="E327" t="str">
            <v>0933</v>
          </cell>
          <cell r="F327" t="str">
            <v>OFICINA MADRE</v>
          </cell>
          <cell r="G327">
            <v>3132</v>
          </cell>
          <cell r="H327" t="str">
            <v>GERENCIA TERRITORIAL NORTE SUR CHICO</v>
          </cell>
        </row>
        <row r="328">
          <cell r="A328" t="str">
            <v>0939</v>
          </cell>
          <cell r="B328" t="str">
            <v>N2</v>
          </cell>
          <cell r="C328">
            <v>41464</v>
          </cell>
          <cell r="D328" t="str">
            <v>OFICINA OVALO MIRAFLORES</v>
          </cell>
          <cell r="E328" t="str">
            <v>0939</v>
          </cell>
          <cell r="F328" t="str">
            <v>OFICINA MADRE</v>
          </cell>
          <cell r="G328" t="str">
            <v>0737</v>
          </cell>
          <cell r="H328" t="str">
            <v>GERENCIA TERRITORIAL MIRAFLORES SAN BORJA</v>
          </cell>
        </row>
        <row r="329">
          <cell r="A329" t="str">
            <v>0960</v>
          </cell>
          <cell r="B329" t="str">
            <v>N2</v>
          </cell>
          <cell r="C329">
            <v>41295</v>
          </cell>
          <cell r="D329" t="str">
            <v>OFICINA PLAZA SAN JOSE</v>
          </cell>
          <cell r="E329" t="str">
            <v>0960</v>
          </cell>
          <cell r="F329" t="str">
            <v>OFICINA MADRE</v>
          </cell>
          <cell r="G329" t="str">
            <v>0674</v>
          </cell>
          <cell r="H329" t="str">
            <v>GERENCIA TERRITORIAL LINCE</v>
          </cell>
        </row>
        <row r="330">
          <cell r="A330" t="str">
            <v>0970</v>
          </cell>
          <cell r="B330" t="str">
            <v>N1</v>
          </cell>
          <cell r="C330">
            <v>40578</v>
          </cell>
          <cell r="D330" t="str">
            <v>OFICINA OVALO NARANJAL</v>
          </cell>
          <cell r="E330" t="str">
            <v>0970</v>
          </cell>
          <cell r="F330" t="str">
            <v>OFICINA MADRE</v>
          </cell>
          <cell r="G330" t="str">
            <v>0734</v>
          </cell>
          <cell r="H330" t="str">
            <v>GERENCIA TERRITORIAL LIMA RESIDENCIAL</v>
          </cell>
        </row>
        <row r="331">
          <cell r="A331" t="str">
            <v>0976</v>
          </cell>
          <cell r="B331" t="str">
            <v>N2</v>
          </cell>
          <cell r="C331">
            <v>41800</v>
          </cell>
          <cell r="D331" t="str">
            <v>OFICINA LAS BAMBAS</v>
          </cell>
          <cell r="E331" t="str">
            <v>0976</v>
          </cell>
          <cell r="F331" t="str">
            <v>OFICINA MADRE</v>
          </cell>
          <cell r="G331" t="str">
            <v>0688</v>
          </cell>
          <cell r="H331" t="str">
            <v>GERENCIA TERRITORIAL SUR</v>
          </cell>
        </row>
        <row r="332">
          <cell r="A332" t="str">
            <v>0982</v>
          </cell>
          <cell r="B332" t="str">
            <v>N2</v>
          </cell>
          <cell r="C332">
            <v>41943</v>
          </cell>
          <cell r="D332" t="str">
            <v>OFICINA OPEN PLAZA PUCALLPA</v>
          </cell>
          <cell r="E332" t="str">
            <v>0982</v>
          </cell>
          <cell r="F332" t="str">
            <v>OFICINA MADRE</v>
          </cell>
          <cell r="G332">
            <v>3249</v>
          </cell>
          <cell r="H332" t="str">
            <v>GERENCIA TERRITORIAL NOR ORIENTE</v>
          </cell>
        </row>
        <row r="333">
          <cell r="A333" t="str">
            <v>0880</v>
          </cell>
          <cell r="B333" t="str">
            <v>N2</v>
          </cell>
          <cell r="C333">
            <v>42255</v>
          </cell>
          <cell r="D333" t="str">
            <v>OFICINA CAQUETA</v>
          </cell>
          <cell r="E333" t="str">
            <v>0880</v>
          </cell>
          <cell r="F333" t="str">
            <v>OFICINA MADRE</v>
          </cell>
          <cell r="G333" t="str">
            <v>0737</v>
          </cell>
          <cell r="H333" t="str">
            <v>GERENCIA TERRITORIAL MIRAFLORES SAN BORJA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de datos 05.01.15"/>
      <sheetName val="Comparación"/>
      <sheetName val="Hoja7"/>
      <sheetName val="Tabla Base"/>
      <sheetName val="Hoja2"/>
      <sheetName val="Hoja5"/>
      <sheetName val="CRUCE"/>
      <sheetName val="NRO DE EJ "/>
      <sheetName val="EBP"/>
      <sheetName val="Hoja1"/>
      <sheetName val="EBP vf"/>
      <sheetName val="EVIP"/>
      <sheetName val="Hoja3"/>
      <sheetName val="EBN"/>
      <sheetName val="EEM"/>
      <sheetName val="BASE OFICINAS"/>
      <sheetName val="Hoja8"/>
      <sheetName val="Hoja11"/>
      <sheetName val="TECOM"/>
      <sheetName val="Hoja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1">
          <cell r="A1" t="str">
            <v>CECO</v>
          </cell>
          <cell r="B1" t="str">
            <v>TERRITORIO</v>
          </cell>
          <cell r="C1" t="str">
            <v>TIPO OF</v>
          </cell>
          <cell r="D1" t="str">
            <v>NOMBRE OFICINA</v>
          </cell>
        </row>
        <row r="2">
          <cell r="A2" t="str">
            <v>0002</v>
          </cell>
          <cell r="B2" t="str">
            <v>GT CALLAO SAN MIGUEL</v>
          </cell>
          <cell r="C2" t="str">
            <v>N2</v>
          </cell>
          <cell r="D2" t="str">
            <v>PANDO</v>
          </cell>
        </row>
        <row r="3">
          <cell r="A3" t="str">
            <v>0003</v>
          </cell>
          <cell r="B3" t="str">
            <v>GT LIMA ESTE</v>
          </cell>
          <cell r="C3" t="str">
            <v>N2</v>
          </cell>
          <cell r="D3" t="str">
            <v>OF. MERCADO MAYORISTA DE SANTA ANITA</v>
          </cell>
        </row>
        <row r="4">
          <cell r="A4" t="str">
            <v>0005</v>
          </cell>
          <cell r="B4" t="str">
            <v>GT NORTE SUR CHICO</v>
          </cell>
          <cell r="C4" t="str">
            <v>N2</v>
          </cell>
          <cell r="D4" t="str">
            <v>OF. MEGAPLAZA CHIMBOTE</v>
          </cell>
        </row>
        <row r="5">
          <cell r="A5" t="str">
            <v>0006</v>
          </cell>
          <cell r="B5" t="str">
            <v>GT SURCO - LA MOLINA</v>
          </cell>
          <cell r="C5" t="str">
            <v>N1</v>
          </cell>
          <cell r="D5" t="str">
            <v>ESPECIAL ESAN</v>
          </cell>
        </row>
        <row r="6">
          <cell r="A6" t="str">
            <v>0010</v>
          </cell>
          <cell r="B6" t="str">
            <v>GT CENTRO</v>
          </cell>
          <cell r="C6" t="e">
            <v>#N/A</v>
          </cell>
          <cell r="D6" t="str">
            <v>OF. ANDAHUAYLAS</v>
          </cell>
        </row>
        <row r="7">
          <cell r="A7" t="str">
            <v>0013</v>
          </cell>
          <cell r="B7" t="str">
            <v>GT SURCO - LA MOLINA</v>
          </cell>
          <cell r="C7" t="str">
            <v>N2</v>
          </cell>
          <cell r="D7" t="str">
            <v>PASEO DE LA CASTELLANA</v>
          </cell>
        </row>
        <row r="8">
          <cell r="A8" t="str">
            <v>0014</v>
          </cell>
          <cell r="B8" t="str">
            <v>GT CENTRO</v>
          </cell>
          <cell r="C8" t="str">
            <v>N2</v>
          </cell>
          <cell r="D8" t="str">
            <v>METRO CHILCA</v>
          </cell>
        </row>
        <row r="9">
          <cell r="A9" t="str">
            <v>0023</v>
          </cell>
          <cell r="B9" t="str">
            <v>GT LIMA RESIDENCIAL</v>
          </cell>
          <cell r="C9" t="str">
            <v>N2</v>
          </cell>
          <cell r="D9" t="str">
            <v>OF. ÓVALO QUIÑONES</v>
          </cell>
        </row>
        <row r="10">
          <cell r="A10" t="str">
            <v>0030</v>
          </cell>
          <cell r="B10" t="str">
            <v>GT NORTE</v>
          </cell>
          <cell r="C10" t="str">
            <v>N2</v>
          </cell>
          <cell r="D10" t="str">
            <v>OF. ÓVALO LARCO TRUJILLO</v>
          </cell>
        </row>
        <row r="11">
          <cell r="A11" t="str">
            <v>0048</v>
          </cell>
          <cell r="B11" t="str">
            <v>GT LIMA SUR</v>
          </cell>
          <cell r="C11" t="str">
            <v>N2</v>
          </cell>
          <cell r="D11" t="str">
            <v>MEGA EXPRESS VILLA EL SALVADOR</v>
          </cell>
        </row>
        <row r="12">
          <cell r="A12" t="str">
            <v>0050</v>
          </cell>
          <cell r="B12" t="str">
            <v>GT NOR ORIENTE</v>
          </cell>
          <cell r="C12" t="str">
            <v>N2</v>
          </cell>
          <cell r="D12" t="str">
            <v>OF. SAN JUAN</v>
          </cell>
        </row>
        <row r="13">
          <cell r="A13" t="str">
            <v>0053</v>
          </cell>
          <cell r="B13" t="str">
            <v>GT NORTE SUR CHICO</v>
          </cell>
          <cell r="C13" t="str">
            <v>N2</v>
          </cell>
          <cell r="D13" t="str">
            <v>OF. EL DE QUINDE ICA</v>
          </cell>
        </row>
        <row r="14">
          <cell r="A14" t="str">
            <v>0054</v>
          </cell>
          <cell r="B14" t="str">
            <v>GT NORTE SUR CHICO</v>
          </cell>
          <cell r="C14" t="str">
            <v>N2</v>
          </cell>
          <cell r="D14" t="str">
            <v>OF. MEGAPLAZA CAÑETE</v>
          </cell>
        </row>
        <row r="15">
          <cell r="A15" t="str">
            <v>0058</v>
          </cell>
          <cell r="B15" t="str">
            <v>GT NORTE SUR CHICO</v>
          </cell>
          <cell r="C15" t="str">
            <v>N2</v>
          </cell>
          <cell r="D15" t="str">
            <v>OF. STRIP CENTER BARRANCA</v>
          </cell>
        </row>
        <row r="16">
          <cell r="A16" t="str">
            <v>0059</v>
          </cell>
          <cell r="B16" t="str">
            <v>GT NORTE</v>
          </cell>
          <cell r="C16" t="str">
            <v>N2</v>
          </cell>
          <cell r="D16" t="str">
            <v>OF. ÓVALO LEGUÍA</v>
          </cell>
        </row>
        <row r="17">
          <cell r="A17" t="str">
            <v>0081</v>
          </cell>
          <cell r="B17" t="str">
            <v>GT NORTE</v>
          </cell>
          <cell r="C17" t="str">
            <v>N2</v>
          </cell>
          <cell r="D17" t="str">
            <v>OF. BAGUA GRANDE</v>
          </cell>
        </row>
        <row r="18">
          <cell r="A18" t="str">
            <v>0082</v>
          </cell>
          <cell r="B18" t="str">
            <v>GT SUR</v>
          </cell>
          <cell r="C18" t="e">
            <v>#N/A</v>
          </cell>
          <cell r="D18" t="str">
            <v>OF. PARRA AREQUIPA</v>
          </cell>
        </row>
        <row r="19">
          <cell r="A19" t="str">
            <v>0083</v>
          </cell>
          <cell r="B19" t="str">
            <v>GT SUR</v>
          </cell>
          <cell r="C19" t="str">
            <v>N2</v>
          </cell>
          <cell r="D19" t="str">
            <v>OF. REAL PLAZA CUSCO</v>
          </cell>
        </row>
        <row r="20">
          <cell r="A20" t="str">
            <v>0087</v>
          </cell>
          <cell r="B20" t="str">
            <v>GT NOR ORIENTE</v>
          </cell>
          <cell r="C20" t="str">
            <v>N2</v>
          </cell>
          <cell r="D20" t="str">
            <v>OF. SANTA ROSA SULLANA</v>
          </cell>
        </row>
        <row r="21">
          <cell r="A21" t="str">
            <v>0089</v>
          </cell>
          <cell r="B21" t="str">
            <v>GT CENTRO</v>
          </cell>
          <cell r="C21" t="str">
            <v>N2</v>
          </cell>
          <cell r="D21" t="str">
            <v>OF. REAL PLAZA CAJAMARCA</v>
          </cell>
        </row>
        <row r="22">
          <cell r="A22" t="str">
            <v>0093</v>
          </cell>
          <cell r="B22" t="str">
            <v>GT LINCE</v>
          </cell>
          <cell r="C22" t="str">
            <v>N2</v>
          </cell>
          <cell r="D22" t="str">
            <v>CANDAMO</v>
          </cell>
        </row>
        <row r="23">
          <cell r="A23" t="str">
            <v>0094</v>
          </cell>
          <cell r="B23" t="str">
            <v>GT LINCE</v>
          </cell>
          <cell r="C23" t="str">
            <v>N2</v>
          </cell>
          <cell r="D23" t="str">
            <v>REAL PLAZA SALAVERRY</v>
          </cell>
        </row>
        <row r="24">
          <cell r="A24" t="str">
            <v>0101</v>
          </cell>
          <cell r="B24" t="str">
            <v>GT LIMA CENTRO</v>
          </cell>
          <cell r="C24" t="str">
            <v>D</v>
          </cell>
          <cell r="D24" t="str">
            <v>CAMANA</v>
          </cell>
        </row>
        <row r="25">
          <cell r="A25" t="str">
            <v>0102</v>
          </cell>
          <cell r="B25" t="str">
            <v>GT CALLAO SAN MIGUEL</v>
          </cell>
          <cell r="C25" t="str">
            <v>B</v>
          </cell>
          <cell r="D25" t="str">
            <v xml:space="preserve">CALLAO </v>
          </cell>
        </row>
        <row r="26">
          <cell r="A26" t="str">
            <v>0103</v>
          </cell>
          <cell r="B26" t="str">
            <v>GT LIMA CENTRO</v>
          </cell>
          <cell r="C26" t="str">
            <v>A</v>
          </cell>
          <cell r="D26" t="str">
            <v>CAPON</v>
          </cell>
        </row>
        <row r="27">
          <cell r="A27" t="str">
            <v>0105</v>
          </cell>
          <cell r="B27" t="str">
            <v>GT LIMA ESTE</v>
          </cell>
          <cell r="C27" t="str">
            <v>D</v>
          </cell>
          <cell r="D27" t="str">
            <v xml:space="preserve">RIMAC </v>
          </cell>
        </row>
        <row r="28">
          <cell r="A28" t="str">
            <v>0106</v>
          </cell>
          <cell r="B28" t="str">
            <v>GT SURCO - LA MOLINA</v>
          </cell>
          <cell r="C28" t="str">
            <v>D</v>
          </cell>
          <cell r="D28" t="str">
            <v>EL REMANSO</v>
          </cell>
        </row>
        <row r="29">
          <cell r="A29" t="str">
            <v>0107</v>
          </cell>
          <cell r="B29" t="str">
            <v>GT CALLAO SAN MIGUEL</v>
          </cell>
          <cell r="C29" t="str">
            <v>D</v>
          </cell>
          <cell r="D29" t="str">
            <v>FAUCETT</v>
          </cell>
        </row>
        <row r="30">
          <cell r="A30" t="str">
            <v>0108</v>
          </cell>
          <cell r="B30" t="str">
            <v>GT LIMA CENTRO</v>
          </cell>
          <cell r="C30" t="str">
            <v>E</v>
          </cell>
          <cell r="D30" t="str">
            <v>BREÑA</v>
          </cell>
        </row>
        <row r="31">
          <cell r="A31" t="str">
            <v>0109</v>
          </cell>
          <cell r="B31" t="str">
            <v>GT SURCO - LA MOLINA</v>
          </cell>
          <cell r="C31" t="str">
            <v>A</v>
          </cell>
          <cell r="D31" t="str">
            <v>LA MOLINA</v>
          </cell>
        </row>
        <row r="32">
          <cell r="A32" t="str">
            <v>0110</v>
          </cell>
          <cell r="B32" t="str">
            <v>GT LIMA CENTRO</v>
          </cell>
          <cell r="C32" t="str">
            <v>E</v>
          </cell>
          <cell r="D32" t="str">
            <v>VENEZUELA I</v>
          </cell>
        </row>
        <row r="33">
          <cell r="A33" t="str">
            <v>0111</v>
          </cell>
          <cell r="B33" t="str">
            <v>GT LIMA NORTE</v>
          </cell>
          <cell r="C33" t="str">
            <v>C</v>
          </cell>
          <cell r="D33" t="str">
            <v>LOS OLIVOS</v>
          </cell>
        </row>
        <row r="34">
          <cell r="A34" t="str">
            <v>0112</v>
          </cell>
          <cell r="B34" t="str">
            <v>GT LIMA CENTRO</v>
          </cell>
          <cell r="C34" t="str">
            <v>D</v>
          </cell>
          <cell r="D34" t="str">
            <v>MEXICO</v>
          </cell>
        </row>
        <row r="35">
          <cell r="A35" t="str">
            <v>0113</v>
          </cell>
          <cell r="B35" t="str">
            <v>GT LIMA NORTE</v>
          </cell>
          <cell r="C35" t="str">
            <v>C</v>
          </cell>
          <cell r="D35" t="str">
            <v>INGENIERIA</v>
          </cell>
        </row>
        <row r="36">
          <cell r="A36" t="str">
            <v>0114</v>
          </cell>
          <cell r="B36" t="str">
            <v>GT LIMA SUR</v>
          </cell>
          <cell r="C36" t="str">
            <v>C</v>
          </cell>
          <cell r="D36" t="str">
            <v>BARRANCO</v>
          </cell>
        </row>
        <row r="37">
          <cell r="A37" t="str">
            <v>0115</v>
          </cell>
          <cell r="B37" t="str">
            <v>GT LIMA CENTRO</v>
          </cell>
          <cell r="C37" t="str">
            <v>A</v>
          </cell>
          <cell r="D37" t="str">
            <v xml:space="preserve">LA VICTORIA </v>
          </cell>
        </row>
        <row r="38">
          <cell r="A38" t="str">
            <v>0116</v>
          </cell>
          <cell r="B38" t="str">
            <v>GT LIMA NORTE</v>
          </cell>
          <cell r="C38" t="str">
            <v>D</v>
          </cell>
          <cell r="D38" t="str">
            <v>COMAS</v>
          </cell>
        </row>
        <row r="39">
          <cell r="A39" t="str">
            <v>0117</v>
          </cell>
          <cell r="B39" t="str">
            <v>GT MIRAFLORES - SAN BORJA</v>
          </cell>
          <cell r="C39" t="str">
            <v>A+</v>
          </cell>
          <cell r="D39" t="str">
            <v xml:space="preserve">LARCO - TARATA </v>
          </cell>
        </row>
        <row r="40">
          <cell r="A40" t="str">
            <v>0118</v>
          </cell>
          <cell r="B40" t="str">
            <v>GT LINCE</v>
          </cell>
          <cell r="C40" t="str">
            <v>D</v>
          </cell>
          <cell r="D40" t="str">
            <v>BOLIVAR</v>
          </cell>
        </row>
        <row r="41">
          <cell r="A41" t="str">
            <v>0119</v>
          </cell>
          <cell r="B41" t="str">
            <v>GT MIRAFLORES - SAN BORJA</v>
          </cell>
          <cell r="C41" t="str">
            <v>C</v>
          </cell>
          <cell r="D41" t="str">
            <v>SAN ANTONIO</v>
          </cell>
        </row>
        <row r="42">
          <cell r="A42" t="str">
            <v>0120</v>
          </cell>
          <cell r="B42" t="str">
            <v>GT CALLAO SAN MIGUEL</v>
          </cell>
          <cell r="C42" t="str">
            <v>C</v>
          </cell>
          <cell r="D42" t="str">
            <v>UNIVERSIDAD CATOLICA</v>
          </cell>
        </row>
        <row r="43">
          <cell r="A43" t="str">
            <v>0121</v>
          </cell>
          <cell r="B43" t="str">
            <v>GT LIMA SUR</v>
          </cell>
          <cell r="C43" t="str">
            <v>D</v>
          </cell>
          <cell r="D43" t="str">
            <v>C.LUB REGATAS LIMA</v>
          </cell>
        </row>
        <row r="44">
          <cell r="A44" t="str">
            <v>0122</v>
          </cell>
          <cell r="B44" t="str">
            <v>GT CALLAO SAN MIGUEL</v>
          </cell>
          <cell r="C44" t="str">
            <v>B</v>
          </cell>
          <cell r="D44" t="str">
            <v>MAGDALENA</v>
          </cell>
        </row>
        <row r="45">
          <cell r="A45" t="str">
            <v>0123</v>
          </cell>
          <cell r="B45" t="str">
            <v>GT LIMA RESIDENCIAL</v>
          </cell>
          <cell r="C45" t="str">
            <v>A</v>
          </cell>
          <cell r="D45" t="str">
            <v xml:space="preserve">CAMINO REAL </v>
          </cell>
        </row>
        <row r="46">
          <cell r="A46" t="str">
            <v>0124</v>
          </cell>
          <cell r="B46" t="str">
            <v>GT LIMA CENTRO</v>
          </cell>
          <cell r="C46" t="str">
            <v>E</v>
          </cell>
          <cell r="D46" t="str">
            <v>PARINACOCHAS</v>
          </cell>
        </row>
        <row r="47">
          <cell r="A47" t="str">
            <v>0125</v>
          </cell>
          <cell r="B47" t="str">
            <v>GT LIMA SUR</v>
          </cell>
          <cell r="C47" t="str">
            <v>D</v>
          </cell>
          <cell r="D47" t="str">
            <v>CHORRILLOS</v>
          </cell>
        </row>
        <row r="48">
          <cell r="A48" t="str">
            <v>0126</v>
          </cell>
          <cell r="B48" t="str">
            <v>GT LIMA CENTRO</v>
          </cell>
          <cell r="C48" t="str">
            <v>D</v>
          </cell>
          <cell r="D48" t="str">
            <v>LA COLMENA</v>
          </cell>
        </row>
        <row r="49">
          <cell r="A49" t="str">
            <v>0127</v>
          </cell>
          <cell r="B49" t="str">
            <v>GT CALLAO SAN MIGUEL</v>
          </cell>
          <cell r="C49" t="str">
            <v>D</v>
          </cell>
          <cell r="D49" t="str">
            <v>MINKA</v>
          </cell>
        </row>
        <row r="50">
          <cell r="A50" t="str">
            <v>0128</v>
          </cell>
          <cell r="B50" t="str">
            <v>GT LIMA ESTE</v>
          </cell>
          <cell r="C50" t="str">
            <v>D</v>
          </cell>
          <cell r="D50" t="str">
            <v>LAS FLORES</v>
          </cell>
        </row>
        <row r="51">
          <cell r="A51" t="str">
            <v>0129</v>
          </cell>
          <cell r="B51" t="str">
            <v>GT LIMA ESTE</v>
          </cell>
          <cell r="C51" t="str">
            <v>D</v>
          </cell>
          <cell r="D51" t="str">
            <v>VITARTE</v>
          </cell>
        </row>
        <row r="52">
          <cell r="A52" t="str">
            <v>0130</v>
          </cell>
          <cell r="B52" t="str">
            <v>GT LIMA CENTRO</v>
          </cell>
          <cell r="C52" t="str">
            <v>A</v>
          </cell>
          <cell r="D52" t="str">
            <v xml:space="preserve">LIMA </v>
          </cell>
        </row>
        <row r="53">
          <cell r="A53" t="str">
            <v>0131</v>
          </cell>
          <cell r="B53" t="str">
            <v>GT LIMA CENTRO</v>
          </cell>
          <cell r="C53" t="str">
            <v>C</v>
          </cell>
          <cell r="D53" t="str">
            <v>NICOLAS ARRIOLA I</v>
          </cell>
        </row>
        <row r="54">
          <cell r="A54" t="str">
            <v>0132</v>
          </cell>
          <cell r="B54" t="str">
            <v>GT LIMA CENTRO</v>
          </cell>
          <cell r="C54" t="str">
            <v>D</v>
          </cell>
          <cell r="D54" t="str">
            <v>VENEZUELA II</v>
          </cell>
        </row>
        <row r="55">
          <cell r="A55" t="str">
            <v>0133</v>
          </cell>
          <cell r="B55" t="str">
            <v>GT LIMA SUR</v>
          </cell>
          <cell r="C55" t="str">
            <v>E</v>
          </cell>
          <cell r="D55" t="str">
            <v>VILLA MARIA DEL TRIUNFO</v>
          </cell>
        </row>
        <row r="56">
          <cell r="A56" t="str">
            <v>0135</v>
          </cell>
          <cell r="B56" t="str">
            <v>GT LIMA SUR</v>
          </cell>
          <cell r="C56" t="str">
            <v>D</v>
          </cell>
          <cell r="D56" t="str">
            <v>SAN JUAN DE MIRAFLORES</v>
          </cell>
        </row>
        <row r="57">
          <cell r="A57" t="str">
            <v>0136</v>
          </cell>
          <cell r="B57" t="str">
            <v>GT LIMA ESTE</v>
          </cell>
          <cell r="C57" t="str">
            <v>D</v>
          </cell>
          <cell r="D57" t="str">
            <v>SALAMANCA</v>
          </cell>
        </row>
        <row r="58">
          <cell r="A58" t="str">
            <v>0137</v>
          </cell>
          <cell r="B58" t="str">
            <v>GT LIMA SUR</v>
          </cell>
          <cell r="C58" t="str">
            <v>C</v>
          </cell>
          <cell r="D58" t="str">
            <v>VILLA MARINA</v>
          </cell>
        </row>
        <row r="59">
          <cell r="A59" t="str">
            <v>0138</v>
          </cell>
          <cell r="B59" t="str">
            <v>GT MIRAFLORES - SAN BORJA</v>
          </cell>
          <cell r="C59" t="str">
            <v>A</v>
          </cell>
          <cell r="D59" t="str">
            <v>C.C. AURORA</v>
          </cell>
        </row>
        <row r="60">
          <cell r="A60" t="str">
            <v>0139</v>
          </cell>
          <cell r="B60" t="str">
            <v>GT LIMA ESTE</v>
          </cell>
          <cell r="C60" t="str">
            <v>C</v>
          </cell>
          <cell r="D60" t="str">
            <v>ZARATE</v>
          </cell>
        </row>
        <row r="61">
          <cell r="A61" t="str">
            <v>0140</v>
          </cell>
          <cell r="B61" t="str">
            <v>GT LINCE</v>
          </cell>
          <cell r="C61" t="str">
            <v>C</v>
          </cell>
          <cell r="D61" t="str">
            <v>JESUS MARIA</v>
          </cell>
        </row>
        <row r="62">
          <cell r="A62" t="str">
            <v>0141</v>
          </cell>
          <cell r="B62" t="str">
            <v>GT LIMA NORTE</v>
          </cell>
          <cell r="C62" t="str">
            <v>E</v>
          </cell>
          <cell r="D62" t="str">
            <v>AV. PERU</v>
          </cell>
        </row>
        <row r="63">
          <cell r="A63" t="str">
            <v>0142</v>
          </cell>
          <cell r="B63" t="str">
            <v>GT LIMA RESIDENCIAL</v>
          </cell>
          <cell r="C63" t="str">
            <v>A</v>
          </cell>
          <cell r="D63" t="str">
            <v xml:space="preserve">C.C.SAN ISIDRO </v>
          </cell>
        </row>
        <row r="64">
          <cell r="A64" t="str">
            <v>0143</v>
          </cell>
          <cell r="B64" t="str">
            <v>GT LIMA NORTE</v>
          </cell>
          <cell r="C64" t="str">
            <v>E</v>
          </cell>
          <cell r="D64" t="str">
            <v>V. A. BELAUNDE</v>
          </cell>
        </row>
        <row r="65">
          <cell r="A65" t="str">
            <v>0144</v>
          </cell>
          <cell r="B65" t="str">
            <v>GT LIMA CENTRO</v>
          </cell>
          <cell r="C65" t="str">
            <v>A</v>
          </cell>
          <cell r="D65" t="str">
            <v>GAMARRA</v>
          </cell>
        </row>
        <row r="66">
          <cell r="A66" t="str">
            <v>0145</v>
          </cell>
          <cell r="B66" t="str">
            <v>GT SURCO - LA MOLINA</v>
          </cell>
          <cell r="C66" t="str">
            <v>B</v>
          </cell>
          <cell r="D66" t="str">
            <v>RINCONADA</v>
          </cell>
        </row>
        <row r="67">
          <cell r="A67" t="str">
            <v>0146</v>
          </cell>
          <cell r="B67" t="str">
            <v>GT LIMA ESTE</v>
          </cell>
          <cell r="C67" t="str">
            <v>E</v>
          </cell>
          <cell r="D67" t="str">
            <v>CERES</v>
          </cell>
        </row>
        <row r="68">
          <cell r="A68" t="str">
            <v>0147</v>
          </cell>
          <cell r="B68" t="str">
            <v>GT LIMA CENTRO</v>
          </cell>
          <cell r="C68" t="str">
            <v>B</v>
          </cell>
          <cell r="D68" t="str">
            <v>ARENALES</v>
          </cell>
        </row>
        <row r="69">
          <cell r="A69" t="str">
            <v>0148</v>
          </cell>
          <cell r="B69" t="str">
            <v>GT LINCE</v>
          </cell>
          <cell r="C69" t="str">
            <v>B</v>
          </cell>
          <cell r="D69" t="str">
            <v>C.C.SUCRE</v>
          </cell>
        </row>
        <row r="70">
          <cell r="A70" t="str">
            <v>0149</v>
          </cell>
          <cell r="B70" t="str">
            <v>GT MIRAFLORES - SAN BORJA</v>
          </cell>
          <cell r="C70" t="str">
            <v>D</v>
          </cell>
          <cell r="D70" t="str">
            <v xml:space="preserve">SURQUILLO </v>
          </cell>
        </row>
        <row r="71">
          <cell r="A71" t="str">
            <v>0150</v>
          </cell>
          <cell r="B71" t="str">
            <v>GT SURCO - LA MOLINA</v>
          </cell>
          <cell r="C71" t="str">
            <v>B</v>
          </cell>
          <cell r="D71" t="str">
            <v>HIGUERETA</v>
          </cell>
        </row>
        <row r="72">
          <cell r="A72" t="str">
            <v>0151</v>
          </cell>
          <cell r="B72" t="str">
            <v>GT CALLAO SAN MIGUEL</v>
          </cell>
          <cell r="C72" t="str">
            <v>C</v>
          </cell>
          <cell r="D72" t="str">
            <v>MARANGA</v>
          </cell>
        </row>
        <row r="73">
          <cell r="A73" t="str">
            <v>0152</v>
          </cell>
          <cell r="B73" t="str">
            <v>GT MIRAFLORES - SAN BORJA</v>
          </cell>
          <cell r="C73" t="str">
            <v>A</v>
          </cell>
          <cell r="D73" t="str">
            <v xml:space="preserve">SAN BORJA </v>
          </cell>
        </row>
        <row r="74">
          <cell r="A74" t="str">
            <v>0153</v>
          </cell>
          <cell r="B74" t="str">
            <v>GT LINCE</v>
          </cell>
          <cell r="C74" t="str">
            <v>B</v>
          </cell>
          <cell r="D74" t="str">
            <v xml:space="preserve">C.C.RISSO </v>
          </cell>
        </row>
        <row r="75">
          <cell r="A75" t="str">
            <v>0155</v>
          </cell>
          <cell r="B75" t="str">
            <v>GT LIMA ESTE</v>
          </cell>
          <cell r="C75" t="str">
            <v>E</v>
          </cell>
          <cell r="D75" t="str">
            <v>NICOLÁS AYLLÓN</v>
          </cell>
        </row>
        <row r="76">
          <cell r="A76" t="str">
            <v>0156</v>
          </cell>
          <cell r="B76" t="str">
            <v>GT MIRAFLORES - SAN BORJA</v>
          </cell>
          <cell r="C76" t="str">
            <v>C</v>
          </cell>
          <cell r="D76" t="str">
            <v>PARDO</v>
          </cell>
        </row>
        <row r="77">
          <cell r="A77" t="str">
            <v>0157</v>
          </cell>
          <cell r="B77" t="str">
            <v>GT LIMA SUR</v>
          </cell>
          <cell r="C77" t="str">
            <v>C</v>
          </cell>
          <cell r="D77" t="str">
            <v>LAS GARDENIAS</v>
          </cell>
        </row>
        <row r="78">
          <cell r="A78" t="str">
            <v>0160</v>
          </cell>
          <cell r="B78" t="str">
            <v>GT SURCO - LA MOLINA</v>
          </cell>
          <cell r="C78" t="str">
            <v>B</v>
          </cell>
          <cell r="D78" t="str">
            <v>C.C.MONTERRICO</v>
          </cell>
        </row>
        <row r="79">
          <cell r="A79" t="str">
            <v>0161</v>
          </cell>
          <cell r="B79" t="str">
            <v>GT LINCE</v>
          </cell>
          <cell r="C79" t="str">
            <v>E</v>
          </cell>
          <cell r="D79" t="str">
            <v xml:space="preserve">LINCE </v>
          </cell>
        </row>
        <row r="80">
          <cell r="A80" t="str">
            <v>0162</v>
          </cell>
          <cell r="B80" t="str">
            <v>GT CALLAO SAN MIGUEL</v>
          </cell>
          <cell r="C80" t="str">
            <v>C</v>
          </cell>
          <cell r="D80" t="str">
            <v xml:space="preserve">AEROPUERTO </v>
          </cell>
        </row>
        <row r="81">
          <cell r="A81" t="str">
            <v>0163</v>
          </cell>
          <cell r="B81" t="str">
            <v>GT LIMA CENTRO</v>
          </cell>
          <cell r="C81" t="str">
            <v>C</v>
          </cell>
          <cell r="D81" t="str">
            <v>APOLO</v>
          </cell>
        </row>
        <row r="82">
          <cell r="A82" t="str">
            <v>0164</v>
          </cell>
          <cell r="B82" t="str">
            <v>GT LIMA CENTRO</v>
          </cell>
          <cell r="C82" t="str">
            <v>C</v>
          </cell>
          <cell r="D82" t="str">
            <v>VENEZUELA III</v>
          </cell>
        </row>
        <row r="83">
          <cell r="A83" t="str">
            <v>0165</v>
          </cell>
          <cell r="B83" t="str">
            <v>GT CALLAO SAN MIGUEL</v>
          </cell>
          <cell r="C83" t="str">
            <v>E</v>
          </cell>
          <cell r="D83" t="str">
            <v>BASE NAVAL</v>
          </cell>
        </row>
        <row r="84">
          <cell r="A84" t="str">
            <v>0166</v>
          </cell>
          <cell r="B84" t="str">
            <v>GT CALLAO SAN MIGUEL</v>
          </cell>
          <cell r="C84" t="str">
            <v>C</v>
          </cell>
          <cell r="D84" t="str">
            <v xml:space="preserve">COLONIAL </v>
          </cell>
        </row>
        <row r="85">
          <cell r="A85" t="str">
            <v>0167</v>
          </cell>
          <cell r="B85" t="str">
            <v>GT LIMA CENTRO</v>
          </cell>
          <cell r="C85" t="str">
            <v>E</v>
          </cell>
          <cell r="D85" t="str">
            <v>PLAZA BOLOGNESI</v>
          </cell>
        </row>
        <row r="86">
          <cell r="A86" t="str">
            <v>0168</v>
          </cell>
          <cell r="B86" t="str">
            <v>GT CALLAO SAN MIGUEL</v>
          </cell>
          <cell r="C86" t="str">
            <v>E</v>
          </cell>
          <cell r="D86" t="str">
            <v>REPSOL</v>
          </cell>
        </row>
        <row r="87">
          <cell r="A87" t="str">
            <v>0169</v>
          </cell>
          <cell r="B87" t="str">
            <v>GT MIRAFLORES - SAN BORJA</v>
          </cell>
          <cell r="C87" t="str">
            <v>C</v>
          </cell>
          <cell r="D87" t="str">
            <v>COMANDANTE ESPINAR</v>
          </cell>
        </row>
        <row r="88">
          <cell r="A88" t="str">
            <v>0170</v>
          </cell>
          <cell r="B88" t="str">
            <v>GT LINCE</v>
          </cell>
          <cell r="C88" t="str">
            <v>C</v>
          </cell>
          <cell r="D88" t="str">
            <v>AV. SUCRE</v>
          </cell>
        </row>
        <row r="89">
          <cell r="A89" t="str">
            <v>0171</v>
          </cell>
          <cell r="B89" t="str">
            <v>GT SURCO - LA MOLINA</v>
          </cell>
          <cell r="C89" t="str">
            <v>C</v>
          </cell>
          <cell r="D89" t="str">
            <v>LOS ROSALES</v>
          </cell>
        </row>
        <row r="90">
          <cell r="A90" t="str">
            <v>0172</v>
          </cell>
          <cell r="B90" t="str">
            <v>GT LIMA NORTE</v>
          </cell>
          <cell r="C90" t="str">
            <v>D</v>
          </cell>
          <cell r="D90" t="str">
            <v>C.C. FIORI</v>
          </cell>
        </row>
        <row r="91">
          <cell r="A91" t="str">
            <v>0174</v>
          </cell>
          <cell r="B91" t="str">
            <v>GT LIMA NORTE</v>
          </cell>
          <cell r="C91" t="str">
            <v>B</v>
          </cell>
          <cell r="D91" t="str">
            <v>MEGA PLAZA</v>
          </cell>
        </row>
        <row r="92">
          <cell r="A92" t="str">
            <v>0175</v>
          </cell>
          <cell r="B92" t="str">
            <v>GT LIMA CENTRO</v>
          </cell>
          <cell r="C92" t="str">
            <v>C</v>
          </cell>
          <cell r="D92" t="str">
            <v>REAL PLAZA CENTRO CIVICO</v>
          </cell>
        </row>
        <row r="93">
          <cell r="A93" t="str">
            <v>0176</v>
          </cell>
          <cell r="B93" t="str">
            <v>GT LIMA NORTE</v>
          </cell>
          <cell r="C93" t="str">
            <v>C</v>
          </cell>
          <cell r="D93" t="str">
            <v>EL TREBOL</v>
          </cell>
        </row>
        <row r="94">
          <cell r="A94" t="str">
            <v>0177</v>
          </cell>
          <cell r="B94" t="str">
            <v>GT LIMA ESTE</v>
          </cell>
          <cell r="C94" t="str">
            <v>D</v>
          </cell>
          <cell r="D94" t="str">
            <v xml:space="preserve">SAMUEL DEL ALCAZAR </v>
          </cell>
        </row>
        <row r="95">
          <cell r="A95" t="str">
            <v>0178</v>
          </cell>
          <cell r="B95" t="str">
            <v>GT SURCO - LA MOLINA</v>
          </cell>
          <cell r="C95" t="str">
            <v>A</v>
          </cell>
          <cell r="D95" t="str">
            <v>CAMACHO</v>
          </cell>
        </row>
        <row r="96">
          <cell r="A96" t="str">
            <v>0179</v>
          </cell>
          <cell r="B96" t="str">
            <v>GT LIMA RESIDENCIAL</v>
          </cell>
          <cell r="C96" t="str">
            <v>B</v>
          </cell>
          <cell r="D96" t="str">
            <v>CAVENECIA</v>
          </cell>
        </row>
        <row r="97">
          <cell r="A97" t="str">
            <v>0180</v>
          </cell>
          <cell r="B97" t="str">
            <v>GT LINCE</v>
          </cell>
          <cell r="C97" t="str">
            <v>B</v>
          </cell>
          <cell r="D97" t="str">
            <v>PARQUE CASTILLA</v>
          </cell>
        </row>
        <row r="98">
          <cell r="A98" t="str">
            <v>0181</v>
          </cell>
          <cell r="B98" t="str">
            <v>GT MIRAFLORES - SAN BORJA</v>
          </cell>
          <cell r="C98" t="str">
            <v>D</v>
          </cell>
          <cell r="D98" t="str">
            <v>REPUBLICA DE PANAMA</v>
          </cell>
        </row>
        <row r="99">
          <cell r="A99" t="str">
            <v>0182</v>
          </cell>
          <cell r="B99" t="str">
            <v>GT LIMA RESIDENCIAL</v>
          </cell>
          <cell r="C99" t="str">
            <v>B</v>
          </cell>
          <cell r="D99" t="str">
            <v>SANTA MONICA</v>
          </cell>
        </row>
        <row r="100">
          <cell r="A100" t="str">
            <v>0183</v>
          </cell>
          <cell r="B100" t="str">
            <v>GT LIMA ESTE</v>
          </cell>
          <cell r="C100" t="str">
            <v>A</v>
          </cell>
          <cell r="D100" t="str">
            <v>SANTA ANITA</v>
          </cell>
        </row>
        <row r="101">
          <cell r="A101" t="str">
            <v>0184</v>
          </cell>
          <cell r="B101" t="str">
            <v>GT LINCE</v>
          </cell>
          <cell r="C101" t="str">
            <v>B</v>
          </cell>
          <cell r="D101" t="str">
            <v>SAN FELIPE</v>
          </cell>
        </row>
        <row r="102">
          <cell r="A102" t="str">
            <v>0185</v>
          </cell>
          <cell r="B102" t="str">
            <v>GT MIRAFLORES - SAN BORJA</v>
          </cell>
          <cell r="C102" t="str">
            <v>E</v>
          </cell>
          <cell r="D102" t="str">
            <v>TOMAS MARSANO</v>
          </cell>
        </row>
        <row r="103">
          <cell r="A103" t="str">
            <v>0186</v>
          </cell>
          <cell r="B103" t="str">
            <v>GT MIRAFLORES - SAN BORJA</v>
          </cell>
          <cell r="C103" t="str">
            <v>C</v>
          </cell>
          <cell r="D103" t="str">
            <v>C.C. SAN BORJA</v>
          </cell>
        </row>
        <row r="104">
          <cell r="A104" t="str">
            <v>0187</v>
          </cell>
          <cell r="B104" t="str">
            <v>GT MIRAFLORES - SAN BORJA</v>
          </cell>
          <cell r="C104" t="str">
            <v>C</v>
          </cell>
          <cell r="D104" t="str">
            <v>ARAMBURU</v>
          </cell>
        </row>
        <row r="105">
          <cell r="A105" t="str">
            <v>0188</v>
          </cell>
          <cell r="B105" t="str">
            <v>GT SURCO - LA MOLINA</v>
          </cell>
          <cell r="C105" t="str">
            <v>B</v>
          </cell>
          <cell r="D105" t="str">
            <v>CRONOS</v>
          </cell>
        </row>
        <row r="106">
          <cell r="A106" t="str">
            <v>0189</v>
          </cell>
          <cell r="B106" t="str">
            <v>GT LINCE</v>
          </cell>
          <cell r="C106" t="str">
            <v>B</v>
          </cell>
          <cell r="D106" t="str">
            <v xml:space="preserve">DOS DE MAYO </v>
          </cell>
        </row>
        <row r="107">
          <cell r="A107" t="str">
            <v>0190</v>
          </cell>
          <cell r="B107" t="str">
            <v>GT CALLAO SAN MIGUEL</v>
          </cell>
          <cell r="C107" t="str">
            <v>B</v>
          </cell>
          <cell r="D107" t="str">
            <v xml:space="preserve">C.C.SAN MIGUEL </v>
          </cell>
        </row>
        <row r="108">
          <cell r="A108" t="str">
            <v>0191</v>
          </cell>
          <cell r="B108" t="str">
            <v>GT LIMA RESIDENCIAL</v>
          </cell>
          <cell r="C108" t="str">
            <v>C</v>
          </cell>
          <cell r="D108" t="str">
            <v>CORPAC</v>
          </cell>
        </row>
        <row r="109">
          <cell r="A109" t="str">
            <v>0192</v>
          </cell>
          <cell r="B109" t="str">
            <v>GT CALLAO SAN MIGUEL</v>
          </cell>
          <cell r="C109" t="str">
            <v>D</v>
          </cell>
          <cell r="D109" t="str">
            <v>BELLAVISTA</v>
          </cell>
        </row>
        <row r="110">
          <cell r="A110" t="str">
            <v>0193</v>
          </cell>
          <cell r="B110" t="str">
            <v>GT CALLAO SAN MIGUEL</v>
          </cell>
          <cell r="C110" t="str">
            <v>D</v>
          </cell>
          <cell r="D110" t="str">
            <v>LA PERLA</v>
          </cell>
        </row>
        <row r="111">
          <cell r="A111" t="str">
            <v>0194</v>
          </cell>
          <cell r="B111" t="str">
            <v>GT SURCO - LA MOLINA</v>
          </cell>
          <cell r="C111" t="str">
            <v>A+</v>
          </cell>
          <cell r="D111" t="str">
            <v xml:space="preserve">CHACARILLA </v>
          </cell>
        </row>
        <row r="112">
          <cell r="A112" t="str">
            <v>0195</v>
          </cell>
          <cell r="B112" t="str">
            <v>GT SURCO - LA MOLINA</v>
          </cell>
          <cell r="C112" t="str">
            <v>B</v>
          </cell>
          <cell r="D112" t="str">
            <v>CUARTEL GRAL.DEL EJER.</v>
          </cell>
        </row>
        <row r="113">
          <cell r="A113" t="str">
            <v>0196</v>
          </cell>
          <cell r="B113" t="str">
            <v>GT LIMA NORTE</v>
          </cell>
          <cell r="C113" t="str">
            <v>E</v>
          </cell>
          <cell r="D113" t="str">
            <v>SAN MARTIN DE PORRES</v>
          </cell>
        </row>
        <row r="114">
          <cell r="A114" t="str">
            <v>0197</v>
          </cell>
          <cell r="B114" t="str">
            <v>GT LIMA CENTRO</v>
          </cell>
          <cell r="C114" t="str">
            <v>D</v>
          </cell>
          <cell r="D114" t="str">
            <v>NICOLAS ARRIOLA II</v>
          </cell>
        </row>
        <row r="115">
          <cell r="A115" t="str">
            <v>0200</v>
          </cell>
          <cell r="B115" t="str">
            <v>GT SUR</v>
          </cell>
          <cell r="C115" t="str">
            <v>A</v>
          </cell>
          <cell r="D115" t="str">
            <v>OF. CUSCO</v>
          </cell>
        </row>
        <row r="116">
          <cell r="A116" t="str">
            <v>0201</v>
          </cell>
          <cell r="B116" t="str">
            <v>GT SUR</v>
          </cell>
          <cell r="C116" t="str">
            <v>D</v>
          </cell>
          <cell r="D116" t="str">
            <v>OF. HUANCHAC</v>
          </cell>
        </row>
        <row r="117">
          <cell r="A117" t="str">
            <v>0202</v>
          </cell>
          <cell r="B117" t="str">
            <v>GT CENTRO</v>
          </cell>
          <cell r="C117" t="str">
            <v>D</v>
          </cell>
          <cell r="D117" t="str">
            <v xml:space="preserve">OF. AYACUCHO </v>
          </cell>
        </row>
        <row r="118">
          <cell r="A118" t="str">
            <v>0203</v>
          </cell>
          <cell r="B118" t="str">
            <v>GT NORTE SUR CHICO</v>
          </cell>
          <cell r="C118" t="str">
            <v>E</v>
          </cell>
          <cell r="D118" t="str">
            <v>SAN MARTIN - ICA</v>
          </cell>
        </row>
        <row r="119">
          <cell r="A119" t="str">
            <v>0205</v>
          </cell>
          <cell r="B119" t="str">
            <v>GT SUR</v>
          </cell>
          <cell r="C119" t="str">
            <v>D</v>
          </cell>
          <cell r="D119" t="str">
            <v>OF. TINTAYA</v>
          </cell>
        </row>
        <row r="120">
          <cell r="A120" t="str">
            <v>0210</v>
          </cell>
          <cell r="B120" t="str">
            <v>GT CENTRO</v>
          </cell>
          <cell r="C120" t="str">
            <v>A</v>
          </cell>
          <cell r="D120" t="str">
            <v>OF HUANUCO</v>
          </cell>
        </row>
        <row r="121">
          <cell r="A121" t="str">
            <v>0211</v>
          </cell>
          <cell r="B121" t="str">
            <v>GT NORTE SUR CHICO</v>
          </cell>
          <cell r="C121" t="str">
            <v>E</v>
          </cell>
          <cell r="D121" t="str">
            <v>OF. CAÑETE</v>
          </cell>
        </row>
        <row r="122">
          <cell r="A122" t="str">
            <v>0214</v>
          </cell>
          <cell r="B122" t="str">
            <v>GT CALLAO SAN MIGUEL</v>
          </cell>
          <cell r="C122">
            <v>0</v>
          </cell>
          <cell r="D122" t="str">
            <v>UNIVERSITARIA FREIRE</v>
          </cell>
        </row>
        <row r="123">
          <cell r="A123" t="str">
            <v>0215</v>
          </cell>
          <cell r="B123" t="str">
            <v>GT NORTE SUR CHICO</v>
          </cell>
          <cell r="C123" t="str">
            <v>C</v>
          </cell>
          <cell r="D123" t="str">
            <v>OF. CHINCHA</v>
          </cell>
        </row>
        <row r="124">
          <cell r="A124" t="str">
            <v>0216</v>
          </cell>
          <cell r="B124" t="str">
            <v>GT NORTE</v>
          </cell>
          <cell r="C124" t="str">
            <v>E</v>
          </cell>
          <cell r="D124" t="str">
            <v>OF.OPEN PLAZA CHICLAYO</v>
          </cell>
        </row>
        <row r="125">
          <cell r="A125" t="str">
            <v>0218</v>
          </cell>
          <cell r="B125" t="str">
            <v>GT SUR</v>
          </cell>
          <cell r="C125" t="str">
            <v>E</v>
          </cell>
          <cell r="D125" t="str">
            <v>OF. QUILLABAMBA</v>
          </cell>
        </row>
        <row r="126">
          <cell r="A126" t="str">
            <v>0220</v>
          </cell>
          <cell r="B126" t="str">
            <v>GT SUR</v>
          </cell>
          <cell r="C126" t="str">
            <v>A+</v>
          </cell>
          <cell r="D126" t="str">
            <v>OF. AREQUIPA</v>
          </cell>
        </row>
        <row r="127">
          <cell r="A127" t="str">
            <v>0221</v>
          </cell>
          <cell r="B127" t="str">
            <v>GT SUR</v>
          </cell>
          <cell r="C127" t="str">
            <v>E</v>
          </cell>
          <cell r="D127" t="str">
            <v>OF. SAN CAMILO</v>
          </cell>
        </row>
        <row r="128">
          <cell r="A128" t="str">
            <v>0222</v>
          </cell>
          <cell r="B128" t="str">
            <v>GT SUR</v>
          </cell>
          <cell r="C128" t="str">
            <v>E</v>
          </cell>
          <cell r="D128" t="str">
            <v>OF. MIRAFLORES</v>
          </cell>
        </row>
        <row r="129">
          <cell r="A129" t="str">
            <v>0223</v>
          </cell>
          <cell r="B129" t="str">
            <v>GT SUR</v>
          </cell>
          <cell r="C129" t="str">
            <v>B</v>
          </cell>
          <cell r="D129" t="str">
            <v>OF. CAYMA</v>
          </cell>
        </row>
        <row r="130">
          <cell r="A130" t="str">
            <v>0225</v>
          </cell>
          <cell r="B130" t="str">
            <v>GT SUR</v>
          </cell>
          <cell r="C130" t="str">
            <v>E</v>
          </cell>
          <cell r="D130" t="str">
            <v>CAMANA</v>
          </cell>
        </row>
        <row r="131">
          <cell r="A131" t="str">
            <v>0226</v>
          </cell>
          <cell r="B131" t="str">
            <v>GT SUR</v>
          </cell>
          <cell r="C131" t="str">
            <v>C</v>
          </cell>
          <cell r="D131" t="str">
            <v>OF. PARQUE INDUSTRIAL</v>
          </cell>
        </row>
        <row r="132">
          <cell r="A132" t="str">
            <v>0228</v>
          </cell>
          <cell r="B132" t="str">
            <v>GT SUR</v>
          </cell>
          <cell r="C132" t="str">
            <v>C</v>
          </cell>
          <cell r="D132" t="str">
            <v>OF. JULIACA</v>
          </cell>
        </row>
        <row r="133">
          <cell r="A133" t="str">
            <v>0229</v>
          </cell>
          <cell r="B133" t="str">
            <v>GT SUR</v>
          </cell>
          <cell r="C133" t="str">
            <v>C</v>
          </cell>
          <cell r="D133" t="str">
            <v>OF. PUNO</v>
          </cell>
        </row>
        <row r="134">
          <cell r="A134" t="str">
            <v>0231</v>
          </cell>
          <cell r="B134" t="str">
            <v>GT SUR</v>
          </cell>
          <cell r="C134" t="str">
            <v>D</v>
          </cell>
          <cell r="D134" t="str">
            <v>OF. ILO</v>
          </cell>
        </row>
        <row r="135">
          <cell r="A135" t="str">
            <v>0232</v>
          </cell>
          <cell r="B135" t="str">
            <v>GT SUR</v>
          </cell>
          <cell r="C135" t="str">
            <v>A</v>
          </cell>
          <cell r="D135" t="str">
            <v>OF. TACNA</v>
          </cell>
        </row>
        <row r="136">
          <cell r="A136" t="str">
            <v>0233</v>
          </cell>
          <cell r="B136" t="str">
            <v>GT NOR ORIENTE</v>
          </cell>
          <cell r="C136" t="str">
            <v>E</v>
          </cell>
          <cell r="D136" t="str">
            <v>07 DE JUNIO</v>
          </cell>
        </row>
        <row r="137">
          <cell r="A137" t="str">
            <v>0234</v>
          </cell>
          <cell r="B137" t="str">
            <v>GT LIMA SUR</v>
          </cell>
          <cell r="C137" t="str">
            <v>E</v>
          </cell>
          <cell r="D137" t="str">
            <v>PQUE. IND. VILLA EL SALVADOR</v>
          </cell>
        </row>
        <row r="138">
          <cell r="A138" t="str">
            <v>0235</v>
          </cell>
          <cell r="B138" t="str">
            <v>GT CENTRO</v>
          </cell>
          <cell r="C138" t="str">
            <v>A</v>
          </cell>
          <cell r="D138" t="str">
            <v>OF. HUANCAYO</v>
          </cell>
        </row>
        <row r="139">
          <cell r="A139" t="str">
            <v>0236</v>
          </cell>
          <cell r="B139" t="str">
            <v>GT CENTRO</v>
          </cell>
          <cell r="C139" t="str">
            <v>D</v>
          </cell>
          <cell r="D139" t="str">
            <v>OF. LA OROYA</v>
          </cell>
        </row>
        <row r="140">
          <cell r="A140" t="str">
            <v>0237</v>
          </cell>
          <cell r="B140" t="str">
            <v>GT CENTRO</v>
          </cell>
          <cell r="C140" t="str">
            <v>D</v>
          </cell>
          <cell r="D140" t="str">
            <v>OF. EL TAMBO</v>
          </cell>
        </row>
        <row r="141">
          <cell r="A141" t="str">
            <v>0238</v>
          </cell>
          <cell r="B141" t="str">
            <v>GT CENTRO</v>
          </cell>
          <cell r="C141" t="str">
            <v>E</v>
          </cell>
          <cell r="D141" t="str">
            <v>LA MERCED</v>
          </cell>
        </row>
        <row r="142">
          <cell r="A142" t="str">
            <v>0240</v>
          </cell>
          <cell r="B142" t="str">
            <v>GT NORTE SUR CHICO</v>
          </cell>
          <cell r="C142" t="str">
            <v>B</v>
          </cell>
          <cell r="D142" t="str">
            <v>OF. ICA</v>
          </cell>
        </row>
        <row r="143">
          <cell r="A143" t="str">
            <v>0241</v>
          </cell>
          <cell r="B143" t="str">
            <v>GT NORTE SUR CHICO</v>
          </cell>
          <cell r="C143" t="str">
            <v>E</v>
          </cell>
          <cell r="D143" t="str">
            <v>OF. PISCO</v>
          </cell>
        </row>
        <row r="144">
          <cell r="A144" t="str">
            <v>0242</v>
          </cell>
          <cell r="B144" t="str">
            <v>GT LIMA CENTRO</v>
          </cell>
          <cell r="C144" t="str">
            <v>E</v>
          </cell>
          <cell r="D144" t="str">
            <v>DAMERO GAMARRA</v>
          </cell>
        </row>
        <row r="145">
          <cell r="A145" t="str">
            <v>0244</v>
          </cell>
          <cell r="B145" t="str">
            <v>GT LIMA CENTRO</v>
          </cell>
          <cell r="C145" t="str">
            <v>A</v>
          </cell>
          <cell r="D145" t="str">
            <v>ESP. GAMARRA</v>
          </cell>
        </row>
        <row r="146">
          <cell r="A146" t="str">
            <v>0245</v>
          </cell>
          <cell r="B146" t="str">
            <v>GT NOR ORIENTE</v>
          </cell>
          <cell r="C146" t="str">
            <v>E</v>
          </cell>
          <cell r="D146" t="str">
            <v>OF. MIRAFLORES - Piura</v>
          </cell>
        </row>
        <row r="147">
          <cell r="A147" t="str">
            <v>0246</v>
          </cell>
          <cell r="B147" t="str">
            <v>GT NORTE</v>
          </cell>
          <cell r="C147" t="str">
            <v>C</v>
          </cell>
          <cell r="D147" t="str">
            <v>OF. HUSARES DE JUNIN</v>
          </cell>
        </row>
        <row r="148">
          <cell r="A148" t="str">
            <v>0247</v>
          </cell>
          <cell r="B148" t="str">
            <v>GT NORTE</v>
          </cell>
          <cell r="C148" t="str">
            <v>D</v>
          </cell>
          <cell r="D148" t="str">
            <v>OF. CHEPEN</v>
          </cell>
        </row>
        <row r="149">
          <cell r="A149" t="str">
            <v>0248</v>
          </cell>
          <cell r="B149" t="str">
            <v>GT CENTRO</v>
          </cell>
          <cell r="C149" t="str">
            <v>E</v>
          </cell>
          <cell r="D149" t="str">
            <v>OF. CC EL QUINDE</v>
          </cell>
        </row>
        <row r="150">
          <cell r="A150" t="str">
            <v>0249</v>
          </cell>
          <cell r="B150" t="str">
            <v>GT NORTE</v>
          </cell>
          <cell r="C150" t="str">
            <v>A+</v>
          </cell>
          <cell r="D150" t="str">
            <v>OF. TRUJILLO</v>
          </cell>
        </row>
        <row r="151">
          <cell r="A151" t="str">
            <v>0250</v>
          </cell>
          <cell r="B151" t="str">
            <v>GT NORTE</v>
          </cell>
          <cell r="C151" t="str">
            <v>B</v>
          </cell>
          <cell r="D151" t="str">
            <v>OF. PRIMAVERA</v>
          </cell>
        </row>
        <row r="152">
          <cell r="A152" t="str">
            <v>0251</v>
          </cell>
          <cell r="B152" t="str">
            <v>GT NORTE</v>
          </cell>
          <cell r="C152" t="str">
            <v>D</v>
          </cell>
          <cell r="D152" t="str">
            <v>OF. MAYORISTA - Trujillo</v>
          </cell>
        </row>
        <row r="153">
          <cell r="A153" t="str">
            <v>0252</v>
          </cell>
          <cell r="B153" t="str">
            <v>GT CALLAO SAN MIGUEL</v>
          </cell>
          <cell r="C153" t="str">
            <v>E</v>
          </cell>
          <cell r="D153" t="str">
            <v xml:space="preserve">MALL AVENTURA PLAZA </v>
          </cell>
        </row>
        <row r="154">
          <cell r="A154" t="str">
            <v>0253</v>
          </cell>
          <cell r="B154" t="str">
            <v>GT LIMA NORTE</v>
          </cell>
          <cell r="C154" t="str">
            <v>E</v>
          </cell>
          <cell r="D154" t="str">
            <v>CC. REAL PLAZA PRO</v>
          </cell>
        </row>
        <row r="155">
          <cell r="A155" t="str">
            <v>0254</v>
          </cell>
          <cell r="B155" t="str">
            <v>GT NORTE</v>
          </cell>
          <cell r="C155" t="str">
            <v>C</v>
          </cell>
          <cell r="D155" t="str">
            <v>OF. LARCO - Trujillo</v>
          </cell>
        </row>
        <row r="156">
          <cell r="A156" t="str">
            <v>0256</v>
          </cell>
          <cell r="B156" t="str">
            <v>GT LIMA ESTE</v>
          </cell>
          <cell r="C156" t="str">
            <v>E</v>
          </cell>
          <cell r="D156" t="str">
            <v>EL MURO</v>
          </cell>
        </row>
        <row r="157">
          <cell r="A157" t="str">
            <v>0257</v>
          </cell>
          <cell r="B157" t="str">
            <v>GT LIMA ESTE</v>
          </cell>
          <cell r="C157" t="str">
            <v>E</v>
          </cell>
          <cell r="D157" t="str">
            <v>GRAN CHIMU</v>
          </cell>
        </row>
        <row r="158">
          <cell r="A158" t="str">
            <v>0258</v>
          </cell>
          <cell r="B158" t="str">
            <v>GT SUR</v>
          </cell>
          <cell r="C158" t="str">
            <v>E</v>
          </cell>
          <cell r="D158" t="str">
            <v>LARAPA CUZCO</v>
          </cell>
        </row>
        <row r="159">
          <cell r="A159" t="str">
            <v>0259</v>
          </cell>
          <cell r="B159" t="str">
            <v>GT CALLAO SAN MIGUEL</v>
          </cell>
          <cell r="C159" t="str">
            <v>E</v>
          </cell>
          <cell r="D159" t="str">
            <v>CC. CANTA CALLAO</v>
          </cell>
        </row>
        <row r="160">
          <cell r="A160" t="str">
            <v>0260</v>
          </cell>
          <cell r="B160" t="str">
            <v>GT NORTE SUR CHICO</v>
          </cell>
          <cell r="C160" t="str">
            <v>B</v>
          </cell>
          <cell r="D160" t="str">
            <v>OF. HUARAZ-ANCASH</v>
          </cell>
        </row>
        <row r="161">
          <cell r="A161" t="str">
            <v>0261</v>
          </cell>
          <cell r="B161" t="str">
            <v>GT LIMA SUR</v>
          </cell>
          <cell r="C161" t="str">
            <v>E</v>
          </cell>
          <cell r="D161" t="str">
            <v>C.C. ATOCONGO</v>
          </cell>
        </row>
        <row r="162">
          <cell r="A162" t="str">
            <v>0262</v>
          </cell>
          <cell r="B162" t="str">
            <v>GT SURCO - LA MOLINA</v>
          </cell>
          <cell r="C162" t="str">
            <v>E</v>
          </cell>
          <cell r="D162" t="str">
            <v>LA PLANICIE</v>
          </cell>
        </row>
        <row r="163">
          <cell r="A163" t="str">
            <v>0263</v>
          </cell>
          <cell r="B163" t="str">
            <v>GT CENTRO</v>
          </cell>
          <cell r="C163" t="str">
            <v>N1</v>
          </cell>
          <cell r="D163" t="str">
            <v>PUERTO MALDONADO</v>
          </cell>
        </row>
        <row r="164">
          <cell r="A164" t="str">
            <v>0264</v>
          </cell>
          <cell r="B164" t="str">
            <v>GT NORTE SUR CHICO</v>
          </cell>
          <cell r="C164" t="str">
            <v>N2</v>
          </cell>
          <cell r="D164" t="str">
            <v>CHANCAY</v>
          </cell>
        </row>
        <row r="165">
          <cell r="A165" t="str">
            <v>0265</v>
          </cell>
          <cell r="B165" t="str">
            <v>GT NOR ORIENTE</v>
          </cell>
          <cell r="C165" t="str">
            <v>C</v>
          </cell>
          <cell r="D165" t="str">
            <v>OF.TUMBES</v>
          </cell>
        </row>
        <row r="166">
          <cell r="A166" t="str">
            <v>0266</v>
          </cell>
          <cell r="B166" t="str">
            <v>GT CENTRO</v>
          </cell>
          <cell r="C166" t="str">
            <v>E</v>
          </cell>
          <cell r="D166" t="str">
            <v>REAL PLAZA HUANCAYO</v>
          </cell>
        </row>
        <row r="167">
          <cell r="A167" t="str">
            <v>0267</v>
          </cell>
          <cell r="B167" t="str">
            <v>GT NOR ORIENTE</v>
          </cell>
          <cell r="C167" t="str">
            <v>A</v>
          </cell>
          <cell r="D167" t="str">
            <v>OF.PIURA</v>
          </cell>
        </row>
        <row r="168">
          <cell r="A168" t="str">
            <v>0268</v>
          </cell>
          <cell r="B168" t="str">
            <v>GT NOR ORIENTE</v>
          </cell>
          <cell r="C168" t="str">
            <v>C</v>
          </cell>
          <cell r="D168" t="str">
            <v>OF. MCDO. MODELO PIURA</v>
          </cell>
        </row>
        <row r="169">
          <cell r="A169" t="str">
            <v>0269</v>
          </cell>
          <cell r="B169" t="str">
            <v>GT LIMA ESTE</v>
          </cell>
          <cell r="C169" t="str">
            <v>E</v>
          </cell>
          <cell r="D169" t="str">
            <v>EL AGUSTINO</v>
          </cell>
        </row>
        <row r="170">
          <cell r="A170" t="str">
            <v>0270</v>
          </cell>
          <cell r="B170" t="str">
            <v>GT NOR ORIENTE</v>
          </cell>
          <cell r="C170" t="str">
            <v>D</v>
          </cell>
          <cell r="D170" t="str">
            <v>OF.TALARA</v>
          </cell>
        </row>
        <row r="171">
          <cell r="A171" t="str">
            <v>0271</v>
          </cell>
          <cell r="B171" t="str">
            <v>GT NOR ORIENTE</v>
          </cell>
          <cell r="C171" t="str">
            <v>D</v>
          </cell>
          <cell r="D171" t="str">
            <v>OF. PAITA</v>
          </cell>
        </row>
        <row r="172">
          <cell r="A172" t="str">
            <v>0272</v>
          </cell>
          <cell r="B172" t="str">
            <v>GT NORTE SUR CHICO</v>
          </cell>
          <cell r="C172" t="str">
            <v>N2</v>
          </cell>
          <cell r="D172" t="str">
            <v>OF. NUEVO CHIMBOTE</v>
          </cell>
        </row>
        <row r="173">
          <cell r="A173" t="str">
            <v>0273</v>
          </cell>
          <cell r="B173" t="str">
            <v>GT NORTE SUR CHICO</v>
          </cell>
          <cell r="C173" t="str">
            <v>C</v>
          </cell>
          <cell r="D173" t="str">
            <v>OF.HUARAL</v>
          </cell>
        </row>
        <row r="174">
          <cell r="A174" t="str">
            <v>0274</v>
          </cell>
          <cell r="B174" t="str">
            <v>GT NOR ORIENTE</v>
          </cell>
          <cell r="C174" t="str">
            <v>E</v>
          </cell>
          <cell r="D174" t="str">
            <v>OF. SULLANA</v>
          </cell>
        </row>
        <row r="175">
          <cell r="A175" t="str">
            <v>0275</v>
          </cell>
          <cell r="B175" t="str">
            <v>GT NORTE SUR CHICO</v>
          </cell>
          <cell r="C175" t="str">
            <v>B</v>
          </cell>
          <cell r="D175" t="str">
            <v>OF. HUACHO</v>
          </cell>
        </row>
        <row r="176">
          <cell r="A176" t="str">
            <v>0276</v>
          </cell>
          <cell r="B176" t="str">
            <v>GT NORTE SUR CHICO</v>
          </cell>
          <cell r="C176" t="str">
            <v>D</v>
          </cell>
          <cell r="D176" t="str">
            <v>OF. BARRANCA</v>
          </cell>
        </row>
        <row r="177">
          <cell r="A177" t="str">
            <v>0277</v>
          </cell>
          <cell r="B177" t="str">
            <v>GT CENTRO</v>
          </cell>
          <cell r="C177" t="str">
            <v>B</v>
          </cell>
          <cell r="D177" t="str">
            <v>OF. CAJAMARCA</v>
          </cell>
        </row>
        <row r="178">
          <cell r="A178" t="str">
            <v>0281</v>
          </cell>
          <cell r="B178" t="str">
            <v>GT NORTE</v>
          </cell>
          <cell r="C178" t="str">
            <v>B</v>
          </cell>
          <cell r="D178" t="str">
            <v>OF. JAEN</v>
          </cell>
        </row>
        <row r="179">
          <cell r="A179" t="str">
            <v>0282</v>
          </cell>
          <cell r="B179" t="str">
            <v>GT CALLAO SAN MIGUEL</v>
          </cell>
          <cell r="C179" t="str">
            <v>E</v>
          </cell>
          <cell r="D179" t="str">
            <v>OVALO 200 MILLAS</v>
          </cell>
        </row>
        <row r="180">
          <cell r="A180" t="str">
            <v>0284</v>
          </cell>
          <cell r="B180" t="str">
            <v>GT LIMA NORTE</v>
          </cell>
          <cell r="C180" t="str">
            <v>E</v>
          </cell>
          <cell r="D180" t="str">
            <v>PLAZA LIMA NORTE</v>
          </cell>
        </row>
        <row r="181">
          <cell r="A181" t="str">
            <v>0285</v>
          </cell>
          <cell r="B181" t="str">
            <v>GT NORTE</v>
          </cell>
          <cell r="C181" t="str">
            <v>A+</v>
          </cell>
          <cell r="D181" t="str">
            <v>OF. CHICLAYO</v>
          </cell>
        </row>
        <row r="182">
          <cell r="A182" t="str">
            <v>0286</v>
          </cell>
          <cell r="B182" t="str">
            <v>GT SURCO - LA MOLINA</v>
          </cell>
          <cell r="C182" t="str">
            <v>N1</v>
          </cell>
          <cell r="D182" t="str">
            <v>LOS ALAMOS</v>
          </cell>
        </row>
        <row r="183">
          <cell r="A183" t="str">
            <v>0287</v>
          </cell>
          <cell r="B183" t="str">
            <v>GT NORTE</v>
          </cell>
          <cell r="C183" t="str">
            <v>D</v>
          </cell>
          <cell r="D183" t="str">
            <v>OF. MCDO MODELO CHICLAYO</v>
          </cell>
        </row>
        <row r="184">
          <cell r="A184" t="str">
            <v>0288</v>
          </cell>
          <cell r="B184" t="str">
            <v>GT NORTE</v>
          </cell>
          <cell r="C184" t="str">
            <v>D</v>
          </cell>
          <cell r="D184" t="str">
            <v>OF. MOSHOQUEQUE</v>
          </cell>
        </row>
        <row r="185">
          <cell r="A185" t="str">
            <v>0291</v>
          </cell>
          <cell r="B185" t="str">
            <v>GT NORTE</v>
          </cell>
          <cell r="C185" t="str">
            <v>E</v>
          </cell>
          <cell r="D185" t="str">
            <v>OF. PACASMAYO</v>
          </cell>
        </row>
        <row r="186">
          <cell r="A186" t="str">
            <v>0295</v>
          </cell>
          <cell r="B186" t="str">
            <v>GT NORTE SUR CHICO</v>
          </cell>
          <cell r="C186" t="str">
            <v>A</v>
          </cell>
          <cell r="D186" t="str">
            <v>OF.CHIMBOTE</v>
          </cell>
        </row>
        <row r="187">
          <cell r="A187" t="str">
            <v>0297</v>
          </cell>
          <cell r="B187" t="str">
            <v>GT NORTE SUR CHICO</v>
          </cell>
          <cell r="C187" t="str">
            <v>D</v>
          </cell>
          <cell r="D187" t="str">
            <v>MERCADO MODELO CHIMBOTE</v>
          </cell>
        </row>
        <row r="188">
          <cell r="A188" t="str">
            <v>0299</v>
          </cell>
          <cell r="B188" t="str">
            <v>GT NOR ORIENTE</v>
          </cell>
          <cell r="C188" t="str">
            <v>D</v>
          </cell>
          <cell r="D188" t="str">
            <v>ESP. EXPRESS BELLAVISTA</v>
          </cell>
        </row>
        <row r="189">
          <cell r="A189" t="str">
            <v>0301</v>
          </cell>
          <cell r="B189" t="str">
            <v>GT NOR ORIENTE</v>
          </cell>
          <cell r="C189" t="str">
            <v>A</v>
          </cell>
          <cell r="D189" t="str">
            <v>OF. IQUITOS</v>
          </cell>
        </row>
        <row r="190">
          <cell r="A190" t="str">
            <v>0304</v>
          </cell>
          <cell r="B190" t="str">
            <v>GT NOR ORIENTE</v>
          </cell>
          <cell r="C190" t="str">
            <v>D</v>
          </cell>
          <cell r="D190" t="str">
            <v>BELEN-IQUITOS</v>
          </cell>
        </row>
        <row r="191">
          <cell r="A191" t="str">
            <v>0306</v>
          </cell>
          <cell r="B191" t="str">
            <v>GT NOR ORIENTE</v>
          </cell>
          <cell r="C191" t="str">
            <v>A+</v>
          </cell>
          <cell r="D191" t="str">
            <v>OF  PUCALLPA</v>
          </cell>
        </row>
        <row r="192">
          <cell r="A192" t="str">
            <v>0309</v>
          </cell>
          <cell r="B192" t="str">
            <v>GT LIMA NORTE</v>
          </cell>
          <cell r="C192" t="str">
            <v>D</v>
          </cell>
          <cell r="D192" t="str">
            <v>SERPOST ADUANAS</v>
          </cell>
        </row>
        <row r="193">
          <cell r="A193" t="str">
            <v>0310</v>
          </cell>
          <cell r="B193" t="str">
            <v>GT NOR ORIENTE</v>
          </cell>
          <cell r="C193" t="str">
            <v>A</v>
          </cell>
          <cell r="D193" t="str">
            <v>OF.TARAPOTO</v>
          </cell>
        </row>
        <row r="194">
          <cell r="A194" t="str">
            <v>0312</v>
          </cell>
          <cell r="B194" t="str">
            <v>GT LIMA NORTE</v>
          </cell>
          <cell r="C194" t="str">
            <v>E</v>
          </cell>
          <cell r="D194" t="str">
            <v>PRO</v>
          </cell>
        </row>
        <row r="195">
          <cell r="A195" t="str">
            <v>0314</v>
          </cell>
          <cell r="B195" t="str">
            <v>GT NOR ORIENTE</v>
          </cell>
          <cell r="C195" t="str">
            <v>C</v>
          </cell>
          <cell r="D195" t="str">
            <v>OF.MOYOBAMBA</v>
          </cell>
        </row>
        <row r="196">
          <cell r="A196" t="str">
            <v>0315</v>
          </cell>
          <cell r="B196" t="str">
            <v>GT LIMA ESTE</v>
          </cell>
          <cell r="C196" t="str">
            <v>E</v>
          </cell>
          <cell r="D196" t="str">
            <v>OF.ESPECIAL BACKUS</v>
          </cell>
        </row>
        <row r="197">
          <cell r="A197" t="str">
            <v>0316</v>
          </cell>
          <cell r="B197" t="str">
            <v>GT LIMA NORTE</v>
          </cell>
          <cell r="C197" t="str">
            <v>E</v>
          </cell>
          <cell r="D197" t="str">
            <v>PUENTE PIEDRA</v>
          </cell>
        </row>
        <row r="198">
          <cell r="A198" t="str">
            <v>0317</v>
          </cell>
          <cell r="B198" t="str">
            <v>GT LIMA SUR</v>
          </cell>
          <cell r="C198" t="str">
            <v>D</v>
          </cell>
          <cell r="D198" t="str">
            <v>PLAZA LIMA SUR</v>
          </cell>
        </row>
        <row r="199">
          <cell r="A199" t="str">
            <v>0318</v>
          </cell>
          <cell r="B199" t="str">
            <v>GT CENTRO</v>
          </cell>
          <cell r="C199" t="str">
            <v>E</v>
          </cell>
          <cell r="D199" t="str">
            <v>OF.TINGO MARIA</v>
          </cell>
        </row>
        <row r="200">
          <cell r="A200" t="str">
            <v>0319</v>
          </cell>
          <cell r="B200" t="str">
            <v>GT LIMA NORTE</v>
          </cell>
          <cell r="C200" t="str">
            <v>E</v>
          </cell>
          <cell r="D200" t="str">
            <v>IZAGUIRRE</v>
          </cell>
        </row>
        <row r="201">
          <cell r="A201" t="str">
            <v>0320</v>
          </cell>
          <cell r="B201" t="str">
            <v>GT LINCE</v>
          </cell>
          <cell r="C201" t="str">
            <v>A</v>
          </cell>
          <cell r="D201" t="str">
            <v>ESSALUD</v>
          </cell>
        </row>
        <row r="202">
          <cell r="A202" t="str">
            <v>0321</v>
          </cell>
          <cell r="B202" t="str">
            <v>GT CENTRO</v>
          </cell>
          <cell r="C202" t="str">
            <v>C</v>
          </cell>
          <cell r="D202" t="str">
            <v>OF. CERRO DE PASCO</v>
          </cell>
        </row>
        <row r="203">
          <cell r="A203" t="str">
            <v>0322</v>
          </cell>
          <cell r="B203" t="str">
            <v>GT LIMA ESTE</v>
          </cell>
          <cell r="C203" t="str">
            <v>E</v>
          </cell>
          <cell r="D203" t="str">
            <v>CANTO GRANDE</v>
          </cell>
        </row>
        <row r="204">
          <cell r="A204" t="str">
            <v>0323</v>
          </cell>
          <cell r="B204" t="str">
            <v>GT LIMA SUR</v>
          </cell>
          <cell r="C204" t="str">
            <v>E</v>
          </cell>
          <cell r="D204" t="str">
            <v>VILLA EL SALVADOR</v>
          </cell>
        </row>
        <row r="205">
          <cell r="A205" t="str">
            <v>0324</v>
          </cell>
          <cell r="B205" t="str">
            <v>GT NOR ORIENTE</v>
          </cell>
          <cell r="C205" t="str">
            <v>C</v>
          </cell>
          <cell r="D205" t="str">
            <v>OF YURIMAGUAS</v>
          </cell>
        </row>
        <row r="206">
          <cell r="A206" t="str">
            <v>0327</v>
          </cell>
          <cell r="B206" t="str">
            <v>GT NOR ORIENTE</v>
          </cell>
          <cell r="C206" t="str">
            <v>D</v>
          </cell>
          <cell r="D206" t="str">
            <v>OF JUANJUI</v>
          </cell>
        </row>
        <row r="207">
          <cell r="A207" t="str">
            <v>0328</v>
          </cell>
          <cell r="B207" t="str">
            <v>GT SURCO - LA MOLINA</v>
          </cell>
          <cell r="C207" t="str">
            <v>E</v>
          </cell>
          <cell r="D207" t="str">
            <v>EL POLO</v>
          </cell>
        </row>
        <row r="208">
          <cell r="A208" t="str">
            <v>0331</v>
          </cell>
          <cell r="B208" t="str">
            <v>GT LIMA CENTRO</v>
          </cell>
          <cell r="C208" t="str">
            <v>A</v>
          </cell>
          <cell r="D208" t="str">
            <v>OF. ESP. HOSPITAL ALMENARA</v>
          </cell>
        </row>
        <row r="209">
          <cell r="A209" t="str">
            <v>0332</v>
          </cell>
          <cell r="B209" t="str">
            <v>GT LIMA ESTE</v>
          </cell>
          <cell r="C209" t="str">
            <v>E</v>
          </cell>
          <cell r="D209" t="str">
            <v xml:space="preserve">MERCADO PRODUCTORES </v>
          </cell>
        </row>
        <row r="210">
          <cell r="A210" t="str">
            <v>0333</v>
          </cell>
          <cell r="B210" t="str">
            <v>GT MIRAFLORES - SAN BORJA</v>
          </cell>
          <cell r="C210" t="str">
            <v>A</v>
          </cell>
          <cell r="D210" t="str">
            <v>MIRAFLORES</v>
          </cell>
        </row>
        <row r="211">
          <cell r="A211" t="str">
            <v>0335</v>
          </cell>
          <cell r="B211" t="str">
            <v>GT LIMA ESTE</v>
          </cell>
          <cell r="C211" t="str">
            <v>E</v>
          </cell>
          <cell r="D211" t="str">
            <v xml:space="preserve">EL PINO </v>
          </cell>
        </row>
        <row r="212">
          <cell r="A212" t="str">
            <v>0336</v>
          </cell>
          <cell r="B212" t="str">
            <v>GT CALLAO SAN MIGUEL</v>
          </cell>
          <cell r="C212" t="str">
            <v>E</v>
          </cell>
          <cell r="D212" t="str">
            <v>ESPECIAL IMUPESA</v>
          </cell>
        </row>
        <row r="213">
          <cell r="A213" t="str">
            <v>0338</v>
          </cell>
          <cell r="B213" t="str">
            <v>GT LIMA SUR</v>
          </cell>
          <cell r="C213" t="str">
            <v>E</v>
          </cell>
          <cell r="D213" t="str">
            <v>VARGAS MACHUCA</v>
          </cell>
        </row>
        <row r="214">
          <cell r="A214" t="str">
            <v>0339</v>
          </cell>
          <cell r="B214" t="str">
            <v>GT CALLAO SAN MIGUEL</v>
          </cell>
          <cell r="C214" t="str">
            <v>E</v>
          </cell>
          <cell r="D214" t="str">
            <v>VENTANILLA</v>
          </cell>
        </row>
        <row r="215">
          <cell r="A215" t="str">
            <v>0340</v>
          </cell>
          <cell r="B215" t="str">
            <v>GT LIMA CENTRO</v>
          </cell>
          <cell r="C215" t="str">
            <v>E</v>
          </cell>
          <cell r="D215" t="str">
            <v>28 DE JULIO</v>
          </cell>
        </row>
        <row r="216">
          <cell r="A216" t="str">
            <v>0341</v>
          </cell>
          <cell r="B216" t="str">
            <v>GT LIMA ESTE</v>
          </cell>
          <cell r="C216" t="str">
            <v>E</v>
          </cell>
          <cell r="D216" t="str">
            <v xml:space="preserve">CANADA-LA ROSA TORO </v>
          </cell>
        </row>
        <row r="217">
          <cell r="A217" t="str">
            <v>0342</v>
          </cell>
          <cell r="B217" t="str">
            <v>GT LIMA NORTE</v>
          </cell>
          <cell r="C217" t="str">
            <v>E</v>
          </cell>
          <cell r="D217" t="str">
            <v>MULTIPLAZA</v>
          </cell>
        </row>
        <row r="218">
          <cell r="A218" t="str">
            <v>0344</v>
          </cell>
          <cell r="B218" t="str">
            <v>GT CALLAO SAN MIGUEL</v>
          </cell>
          <cell r="C218" t="str">
            <v>E</v>
          </cell>
          <cell r="D218" t="str">
            <v>ESPECIAL BIENESTAR LA MARINA</v>
          </cell>
        </row>
        <row r="219">
          <cell r="A219" t="str">
            <v>0345</v>
          </cell>
          <cell r="B219" t="str">
            <v>GT LIMA ESTE</v>
          </cell>
          <cell r="C219" t="str">
            <v>E</v>
          </cell>
          <cell r="D219" t="str">
            <v>CHOSICA</v>
          </cell>
        </row>
        <row r="220">
          <cell r="A220" t="str">
            <v>0346</v>
          </cell>
          <cell r="B220" t="str">
            <v>GT LIMA CENTRO</v>
          </cell>
          <cell r="C220" t="str">
            <v>A</v>
          </cell>
          <cell r="D220" t="str">
            <v>OF. ESP. PARURO</v>
          </cell>
        </row>
        <row r="221">
          <cell r="A221" t="str">
            <v>0348</v>
          </cell>
          <cell r="B221" t="str">
            <v>GT NORTE</v>
          </cell>
          <cell r="C221" t="str">
            <v>D</v>
          </cell>
          <cell r="D221" t="str">
            <v>OF.REAL PLAZA CHICLAYO</v>
          </cell>
        </row>
        <row r="222">
          <cell r="A222" t="str">
            <v>0351</v>
          </cell>
          <cell r="B222" t="str">
            <v>GT LINCE</v>
          </cell>
          <cell r="C222" t="str">
            <v>D</v>
          </cell>
          <cell r="D222" t="str">
            <v>LOS GERANIOS</v>
          </cell>
        </row>
        <row r="223">
          <cell r="A223" t="str">
            <v>0352</v>
          </cell>
          <cell r="B223" t="str">
            <v>GT MIRAFLORES - SAN BORJA</v>
          </cell>
          <cell r="C223" t="str">
            <v>D</v>
          </cell>
          <cell r="D223" t="str">
            <v>LAS TIENDAS</v>
          </cell>
        </row>
        <row r="224">
          <cell r="A224" t="str">
            <v>0353</v>
          </cell>
          <cell r="B224" t="str">
            <v>GT LINCE</v>
          </cell>
          <cell r="C224" t="str">
            <v>D</v>
          </cell>
          <cell r="D224" t="str">
            <v>DOMINGO CUETO</v>
          </cell>
        </row>
        <row r="225">
          <cell r="A225" t="str">
            <v>0354</v>
          </cell>
          <cell r="B225" t="str">
            <v>GT LIMA RESIDENCIAL</v>
          </cell>
          <cell r="C225" t="str">
            <v>C</v>
          </cell>
          <cell r="D225" t="str">
            <v>LAS BEGONIAS</v>
          </cell>
        </row>
        <row r="226">
          <cell r="A226" t="str">
            <v>0355</v>
          </cell>
          <cell r="B226" t="str">
            <v>GT MIRAFLORES - SAN BORJA</v>
          </cell>
          <cell r="C226" t="str">
            <v>D</v>
          </cell>
          <cell r="D226" t="str">
            <v>AVIACIÓN</v>
          </cell>
        </row>
        <row r="227">
          <cell r="A227" t="str">
            <v>0356</v>
          </cell>
          <cell r="B227" t="str">
            <v>GT LINCE</v>
          </cell>
          <cell r="C227" t="str">
            <v>D</v>
          </cell>
          <cell r="D227" t="str">
            <v xml:space="preserve">PETIT THOUARS </v>
          </cell>
        </row>
        <row r="228">
          <cell r="A228" t="str">
            <v>0357</v>
          </cell>
          <cell r="B228" t="str">
            <v>GT LINCE</v>
          </cell>
          <cell r="C228" t="str">
            <v>C</v>
          </cell>
          <cell r="D228" t="str">
            <v xml:space="preserve">ORRANTIA </v>
          </cell>
        </row>
        <row r="229">
          <cell r="A229" t="str">
            <v>0358</v>
          </cell>
          <cell r="B229" t="str">
            <v>GT MIRAFLORES - SAN BORJA</v>
          </cell>
          <cell r="C229" t="str">
            <v>B</v>
          </cell>
          <cell r="D229" t="str">
            <v>SAN LUIS</v>
          </cell>
        </row>
        <row r="230">
          <cell r="A230" t="str">
            <v>0359</v>
          </cell>
          <cell r="B230" t="str">
            <v>GT LINCE</v>
          </cell>
          <cell r="C230" t="str">
            <v>D</v>
          </cell>
          <cell r="D230" t="str">
            <v xml:space="preserve">AV. CENTRAL </v>
          </cell>
        </row>
        <row r="231">
          <cell r="A231" t="str">
            <v>0360</v>
          </cell>
          <cell r="B231" t="str">
            <v>GT SURCO - LA MOLINA</v>
          </cell>
          <cell r="C231" t="str">
            <v>D</v>
          </cell>
          <cell r="D231" t="str">
            <v>JOCKEY PLAZA</v>
          </cell>
        </row>
        <row r="232">
          <cell r="A232" t="str">
            <v>0361</v>
          </cell>
          <cell r="B232" t="str">
            <v>GT LIMA CENTRO</v>
          </cell>
          <cell r="C232" t="str">
            <v>D</v>
          </cell>
          <cell r="D232" t="str">
            <v>ABANCAY-CONGRESO</v>
          </cell>
        </row>
        <row r="233">
          <cell r="A233" t="str">
            <v>0364</v>
          </cell>
          <cell r="B233" t="str">
            <v>GT LIMA RESIDENCIAL</v>
          </cell>
          <cell r="C233" t="str">
            <v>C</v>
          </cell>
          <cell r="D233" t="str">
            <v xml:space="preserve">BASADRE </v>
          </cell>
        </row>
        <row r="234">
          <cell r="A234" t="str">
            <v>0366</v>
          </cell>
          <cell r="B234" t="str">
            <v>GT LIMA RESIDENCIAL</v>
          </cell>
          <cell r="C234" t="str">
            <v>D</v>
          </cell>
          <cell r="D234" t="str">
            <v>CONQUISTADORES</v>
          </cell>
        </row>
        <row r="235">
          <cell r="A235" t="str">
            <v>0367</v>
          </cell>
          <cell r="B235" t="str">
            <v>GT MIRAFLORES - SAN BORJA</v>
          </cell>
          <cell r="C235" t="str">
            <v>D</v>
          </cell>
          <cell r="D235" t="str">
            <v>BENAVIDES</v>
          </cell>
        </row>
        <row r="236">
          <cell r="A236" t="str">
            <v>0368</v>
          </cell>
          <cell r="B236" t="str">
            <v>GT MIRAFLORES - SAN BORJA</v>
          </cell>
          <cell r="C236" t="str">
            <v>C</v>
          </cell>
          <cell r="D236" t="str">
            <v>RICARDO PALMA</v>
          </cell>
        </row>
        <row r="237">
          <cell r="A237" t="str">
            <v>0369</v>
          </cell>
          <cell r="B237" t="str">
            <v>GT LIMA RESIDENCIAL</v>
          </cell>
          <cell r="C237" t="str">
            <v>C</v>
          </cell>
          <cell r="D237" t="str">
            <v>EL OLIVAR</v>
          </cell>
        </row>
        <row r="238">
          <cell r="A238" t="str">
            <v>0370</v>
          </cell>
          <cell r="B238" t="str">
            <v>GT MIRAFLORES - SAN BORJA</v>
          </cell>
          <cell r="C238" t="str">
            <v>D</v>
          </cell>
          <cell r="D238" t="str">
            <v>LIMATAMBO</v>
          </cell>
        </row>
        <row r="239">
          <cell r="A239" t="str">
            <v>0372</v>
          </cell>
          <cell r="B239" t="str">
            <v>GT LINCE</v>
          </cell>
          <cell r="C239" t="str">
            <v>C</v>
          </cell>
          <cell r="D239" t="str">
            <v xml:space="preserve">LOS ROBLES </v>
          </cell>
        </row>
        <row r="240">
          <cell r="A240" t="str">
            <v>0379</v>
          </cell>
          <cell r="B240" t="str">
            <v>GT LIMA ESTE</v>
          </cell>
          <cell r="C240" t="str">
            <v>D</v>
          </cell>
          <cell r="D240" t="str">
            <v>AMBEV</v>
          </cell>
        </row>
        <row r="241">
          <cell r="A241" t="str">
            <v>0381</v>
          </cell>
          <cell r="B241" t="str">
            <v>GT CALLAO SAN MIGUEL</v>
          </cell>
          <cell r="C241" t="str">
            <v>E</v>
          </cell>
          <cell r="D241" t="str">
            <v>EL PUERTO</v>
          </cell>
        </row>
        <row r="242">
          <cell r="A242" t="str">
            <v>0383</v>
          </cell>
          <cell r="B242" t="str">
            <v>GT CALLAO SAN MIGUEL</v>
          </cell>
          <cell r="C242" t="str">
            <v>D</v>
          </cell>
          <cell r="D242" t="str">
            <v>FAUCETT 2</v>
          </cell>
        </row>
        <row r="243">
          <cell r="A243" t="str">
            <v>0385</v>
          </cell>
          <cell r="B243" t="str">
            <v>GT LIMA CENTRO</v>
          </cell>
          <cell r="C243" t="str">
            <v>C</v>
          </cell>
          <cell r="D243" t="str">
            <v>ESP. NESTLE DONOFRIO</v>
          </cell>
        </row>
        <row r="244">
          <cell r="A244" t="str">
            <v>0387</v>
          </cell>
          <cell r="B244" t="str">
            <v>GT LIMA RESIDENCIAL</v>
          </cell>
          <cell r="C244" t="str">
            <v>D</v>
          </cell>
          <cell r="D244" t="str">
            <v>CANAVAL Y MOREYRA</v>
          </cell>
        </row>
        <row r="245">
          <cell r="A245" t="str">
            <v>0388</v>
          </cell>
          <cell r="B245" t="str">
            <v>GT CALLAO SAN MIGUEL</v>
          </cell>
          <cell r="C245" t="str">
            <v>D</v>
          </cell>
          <cell r="D245" t="str">
            <v>NEPTUNIA</v>
          </cell>
        </row>
        <row r="246">
          <cell r="A246" t="str">
            <v>0396</v>
          </cell>
          <cell r="B246" t="str">
            <v>GT LIMA NORTE</v>
          </cell>
          <cell r="C246" t="str">
            <v>E</v>
          </cell>
          <cell r="D246" t="str">
            <v>COVIDA</v>
          </cell>
        </row>
        <row r="247">
          <cell r="A247" t="str">
            <v>0418</v>
          </cell>
          <cell r="B247" t="str">
            <v>GT LIMA NORTE</v>
          </cell>
          <cell r="C247" t="str">
            <v>N2</v>
          </cell>
          <cell r="D247" t="str">
            <v>VILLA INFANTAS</v>
          </cell>
        </row>
        <row r="248">
          <cell r="A248" t="str">
            <v>0426</v>
          </cell>
          <cell r="B248" t="str">
            <v>GT MIRAFLORES - SAN BORJA</v>
          </cell>
          <cell r="C248" t="str">
            <v>E</v>
          </cell>
          <cell r="D248" t="str">
            <v>AV. DEL EJERCITO</v>
          </cell>
        </row>
        <row r="249">
          <cell r="A249" t="str">
            <v>0427</v>
          </cell>
          <cell r="B249" t="str">
            <v>GT SUR</v>
          </cell>
          <cell r="C249" t="str">
            <v>E</v>
          </cell>
          <cell r="D249" t="str">
            <v>BOLOGNESI</v>
          </cell>
        </row>
        <row r="250">
          <cell r="A250" t="str">
            <v>0431</v>
          </cell>
          <cell r="B250" t="str">
            <v>GT LINCE</v>
          </cell>
          <cell r="C250" t="str">
            <v>N1</v>
          </cell>
          <cell r="D250" t="str">
            <v>AV. AREQUIPA</v>
          </cell>
        </row>
        <row r="251">
          <cell r="A251" t="str">
            <v>0442</v>
          </cell>
          <cell r="B251" t="str">
            <v>GT NORTE</v>
          </cell>
          <cell r="C251" t="str">
            <v>N2</v>
          </cell>
          <cell r="D251" t="str">
            <v>OF.LAMBAYEQUE</v>
          </cell>
        </row>
        <row r="252">
          <cell r="A252" t="str">
            <v>0443</v>
          </cell>
          <cell r="B252" t="str">
            <v>GT LIMA CENTRO</v>
          </cell>
          <cell r="C252" t="str">
            <v>N2</v>
          </cell>
          <cell r="D252" t="str">
            <v>OF. SANTA CATALINA</v>
          </cell>
        </row>
        <row r="253">
          <cell r="A253" t="str">
            <v>0467</v>
          </cell>
          <cell r="B253" t="str">
            <v>GT CALLAO SAN MIGUEL</v>
          </cell>
          <cell r="C253">
            <v>0</v>
          </cell>
          <cell r="D253" t="str">
            <v>GUARDIA CHALACA</v>
          </cell>
        </row>
        <row r="254">
          <cell r="A254" t="str">
            <v>0480</v>
          </cell>
          <cell r="B254" t="str">
            <v>GT CALLAO SAN MIGUEL</v>
          </cell>
          <cell r="C254" t="str">
            <v>E</v>
          </cell>
          <cell r="D254" t="str">
            <v>LA MARINA</v>
          </cell>
        </row>
        <row r="255">
          <cell r="A255" t="str">
            <v>0482</v>
          </cell>
          <cell r="B255" t="str">
            <v>GT LIMA CENTRO</v>
          </cell>
          <cell r="C255" t="str">
            <v>E</v>
          </cell>
          <cell r="D255" t="str">
            <v>PLAZA UNIÓN</v>
          </cell>
        </row>
        <row r="256">
          <cell r="A256" t="str">
            <v>0484</v>
          </cell>
          <cell r="B256" t="str">
            <v>GT LIMA ESTE</v>
          </cell>
          <cell r="C256" t="str">
            <v>E</v>
          </cell>
          <cell r="D256" t="str">
            <v>HUAYCAN</v>
          </cell>
        </row>
        <row r="257">
          <cell r="A257" t="str">
            <v>0486</v>
          </cell>
          <cell r="B257" t="str">
            <v>GT LIMA RESIDENCIAL</v>
          </cell>
          <cell r="C257" t="str">
            <v>A+</v>
          </cell>
          <cell r="D257" t="str">
            <v>SAN ISIDRO</v>
          </cell>
        </row>
        <row r="258">
          <cell r="A258" t="str">
            <v>0508</v>
          </cell>
          <cell r="B258" t="str">
            <v>GT MIRAFLORES - SAN BORJA</v>
          </cell>
          <cell r="C258" t="str">
            <v>N1</v>
          </cell>
          <cell r="D258" t="str">
            <v>OPEN PLAZA ANGAMOS</v>
          </cell>
        </row>
        <row r="259">
          <cell r="A259" t="str">
            <v>0518</v>
          </cell>
          <cell r="B259" t="str">
            <v>GT SURCO - LA MOLINA</v>
          </cell>
          <cell r="C259" t="str">
            <v>N1</v>
          </cell>
          <cell r="D259" t="str">
            <v>VELASCO ASTETE</v>
          </cell>
        </row>
        <row r="260">
          <cell r="A260" t="str">
            <v>0521</v>
          </cell>
          <cell r="B260" t="str">
            <v>GT LIMA SUR</v>
          </cell>
          <cell r="C260" t="str">
            <v>N1</v>
          </cell>
          <cell r="D260" t="str">
            <v>PROCERES</v>
          </cell>
        </row>
        <row r="261">
          <cell r="A261" t="str">
            <v>0524</v>
          </cell>
          <cell r="B261" t="str">
            <v>GT MIRAFLORES - SAN BORJA</v>
          </cell>
          <cell r="C261" t="str">
            <v>N2</v>
          </cell>
          <cell r="D261" t="str">
            <v>GRIMALDO DEL SOLAR</v>
          </cell>
        </row>
        <row r="262">
          <cell r="A262" t="str">
            <v>0554</v>
          </cell>
          <cell r="B262" t="str">
            <v>GT NOR ORIENTE</v>
          </cell>
          <cell r="C262" t="str">
            <v>N1</v>
          </cell>
          <cell r="D262" t="str">
            <v>OF. OPEN PLAZA PIURA</v>
          </cell>
        </row>
        <row r="263">
          <cell r="A263" t="str">
            <v>0564</v>
          </cell>
          <cell r="B263" t="str">
            <v>GT LIMA SUR</v>
          </cell>
          <cell r="C263" t="str">
            <v>N1</v>
          </cell>
          <cell r="D263" t="str">
            <v>PLAZA BUTTERS</v>
          </cell>
        </row>
        <row r="264">
          <cell r="A264" t="str">
            <v>0565</v>
          </cell>
          <cell r="B264" t="str">
            <v>GT LIMA ESTE</v>
          </cell>
          <cell r="C264" t="str">
            <v>N1</v>
          </cell>
          <cell r="D264" t="str">
            <v>SAN HILARION</v>
          </cell>
        </row>
        <row r="265">
          <cell r="A265" t="str">
            <v>0566</v>
          </cell>
          <cell r="B265" t="str">
            <v>GT LIMA CENTRO</v>
          </cell>
          <cell r="C265" t="str">
            <v>N2</v>
          </cell>
          <cell r="D265" t="str">
            <v>METRO PLAZA CASTILLA</v>
          </cell>
        </row>
        <row r="266">
          <cell r="A266" t="str">
            <v>0588</v>
          </cell>
          <cell r="B266" t="str">
            <v>GT NORTE SUR CHICO</v>
          </cell>
          <cell r="C266" t="str">
            <v>N2</v>
          </cell>
          <cell r="D266" t="str">
            <v>OF. MEGA EXPRESS CHINCHA</v>
          </cell>
        </row>
        <row r="267">
          <cell r="A267" t="str">
            <v>0597</v>
          </cell>
          <cell r="B267" t="str">
            <v>GT CENTRO</v>
          </cell>
          <cell r="C267" t="str">
            <v>E</v>
          </cell>
          <cell r="D267" t="str">
            <v>PICHANAQUI</v>
          </cell>
        </row>
        <row r="268">
          <cell r="A268" t="str">
            <v>0609</v>
          </cell>
          <cell r="B268" t="str">
            <v>GT LIMA CENTRO</v>
          </cell>
          <cell r="C268" t="str">
            <v>N2</v>
          </cell>
          <cell r="D268" t="str">
            <v>SAN RAFAEL</v>
          </cell>
        </row>
        <row r="269">
          <cell r="A269" t="str">
            <v>0614</v>
          </cell>
          <cell r="B269" t="str">
            <v>GT LIMA ESTE</v>
          </cell>
          <cell r="C269" t="str">
            <v>N2</v>
          </cell>
          <cell r="D269" t="str">
            <v>SEPARADORA INDUSTRIAL</v>
          </cell>
        </row>
        <row r="270">
          <cell r="A270" t="str">
            <v>0615</v>
          </cell>
          <cell r="B270" t="str">
            <v>GT MIRAFLORES - SAN BORJA</v>
          </cell>
          <cell r="C270" t="str">
            <v>N2</v>
          </cell>
          <cell r="D270" t="str">
            <v>SAN BORJA SUR</v>
          </cell>
        </row>
        <row r="271">
          <cell r="A271" t="str">
            <v>0616</v>
          </cell>
          <cell r="B271" t="str">
            <v>GT MIRAFLORES - SAN BORJA</v>
          </cell>
          <cell r="C271" t="str">
            <v>N2</v>
          </cell>
          <cell r="D271" t="str">
            <v>ANGAMOS ESTE</v>
          </cell>
        </row>
        <row r="272">
          <cell r="A272" t="str">
            <v>0619</v>
          </cell>
          <cell r="B272" t="str">
            <v>GT NORTE</v>
          </cell>
          <cell r="C272" t="str">
            <v>N2</v>
          </cell>
          <cell r="D272" t="str">
            <v>OF. EL PORVENIR</v>
          </cell>
        </row>
        <row r="273">
          <cell r="A273" t="str">
            <v>0627</v>
          </cell>
          <cell r="B273" t="str">
            <v>GT LIMA ESTE</v>
          </cell>
          <cell r="C273" t="str">
            <v>A</v>
          </cell>
          <cell r="D273" t="str">
            <v>ESPECIAL SEDAPAL</v>
          </cell>
        </row>
        <row r="274">
          <cell r="A274" t="str">
            <v>0628</v>
          </cell>
          <cell r="B274" t="str">
            <v>GT CENTRO</v>
          </cell>
          <cell r="C274" t="str">
            <v>N2</v>
          </cell>
          <cell r="D274" t="str">
            <v>OF. SATIPO</v>
          </cell>
        </row>
        <row r="275">
          <cell r="A275" t="str">
            <v>0643</v>
          </cell>
          <cell r="B275" t="str">
            <v>GT CENTRO</v>
          </cell>
          <cell r="C275" t="str">
            <v>N2</v>
          </cell>
          <cell r="D275" t="str">
            <v>OF. TARMA</v>
          </cell>
        </row>
        <row r="276">
          <cell r="A276" t="str">
            <v>0648</v>
          </cell>
          <cell r="B276" t="str">
            <v>GT NORTE</v>
          </cell>
          <cell r="C276" t="str">
            <v>B</v>
          </cell>
          <cell r="D276" t="str">
            <v>OF. CHOTA</v>
          </cell>
        </row>
        <row r="277">
          <cell r="A277" t="str">
            <v>0654</v>
          </cell>
          <cell r="B277" t="str">
            <v>GT NORTE SUR CHICO</v>
          </cell>
          <cell r="C277" t="str">
            <v>N2</v>
          </cell>
          <cell r="D277" t="str">
            <v>OF. PLAZA DEL SOL HUACHO</v>
          </cell>
        </row>
        <row r="278">
          <cell r="A278" t="str">
            <v>0659</v>
          </cell>
          <cell r="B278" t="str">
            <v>GT LIMA CENTRO</v>
          </cell>
          <cell r="C278" t="str">
            <v>N2</v>
          </cell>
          <cell r="D278" t="str">
            <v>SEBASTIAN BARRANCA</v>
          </cell>
        </row>
        <row r="279">
          <cell r="A279" t="str">
            <v>0667</v>
          </cell>
          <cell r="B279" t="str">
            <v>GT NOR ORIENTE</v>
          </cell>
          <cell r="C279" t="str">
            <v>N2</v>
          </cell>
          <cell r="D279" t="str">
            <v>REAL PLAZA PIURA</v>
          </cell>
        </row>
        <row r="280">
          <cell r="A280" t="str">
            <v>0712</v>
          </cell>
          <cell r="B280" t="str">
            <v>GT LIMA ESTE</v>
          </cell>
          <cell r="C280" t="str">
            <v>N2</v>
          </cell>
          <cell r="D280" t="str">
            <v>MALL AVENTURA PLAZA SANTA ANITA</v>
          </cell>
        </row>
        <row r="281">
          <cell r="A281" t="str">
            <v>0713</v>
          </cell>
          <cell r="B281" t="str">
            <v>GT SURCO - LA MOLINA</v>
          </cell>
          <cell r="C281" t="str">
            <v>N1</v>
          </cell>
          <cell r="D281" t="str">
            <v>CAMINOS DEL INCA</v>
          </cell>
        </row>
        <row r="282">
          <cell r="A282" t="str">
            <v>0716</v>
          </cell>
          <cell r="B282" t="str">
            <v>GT MIRAFLORES - SAN BORJA</v>
          </cell>
          <cell r="C282" t="str">
            <v>N1</v>
          </cell>
          <cell r="D282" t="str">
            <v>SANTA CRUZ</v>
          </cell>
        </row>
        <row r="283">
          <cell r="A283" t="str">
            <v>0717</v>
          </cell>
          <cell r="B283" t="str">
            <v>GT SUR</v>
          </cell>
          <cell r="C283" t="str">
            <v>N1</v>
          </cell>
          <cell r="D283" t="str">
            <v>JOSE LUIS BUSTAMANTE Y RIVERO</v>
          </cell>
        </row>
        <row r="284">
          <cell r="A284" t="str">
            <v>0729</v>
          </cell>
          <cell r="B284" t="str">
            <v>GT LIMA SUR</v>
          </cell>
          <cell r="C284" t="str">
            <v>N1</v>
          </cell>
          <cell r="D284" t="str">
            <v>JOSE GALVEZ</v>
          </cell>
        </row>
        <row r="285">
          <cell r="A285" t="str">
            <v>0732</v>
          </cell>
          <cell r="B285" t="str">
            <v>GT LINCE</v>
          </cell>
          <cell r="C285" t="str">
            <v>N2</v>
          </cell>
          <cell r="D285" t="str">
            <v>SALAVERRY</v>
          </cell>
        </row>
        <row r="286">
          <cell r="A286" t="str">
            <v>0733</v>
          </cell>
          <cell r="B286" t="str">
            <v>GT LIMA NORTE</v>
          </cell>
          <cell r="C286" t="str">
            <v>N1</v>
          </cell>
          <cell r="D286" t="str">
            <v>PALAO</v>
          </cell>
        </row>
        <row r="287">
          <cell r="A287" t="str">
            <v>0747</v>
          </cell>
          <cell r="B287" t="str">
            <v>GT LIMA NORTE</v>
          </cell>
          <cell r="C287" t="e">
            <v>#N/A</v>
          </cell>
          <cell r="D287" t="str">
            <v>OF. COLLIQUE</v>
          </cell>
        </row>
        <row r="288">
          <cell r="A288" t="str">
            <v>0748</v>
          </cell>
          <cell r="B288" t="str">
            <v>GT LIMA CENTRO</v>
          </cell>
          <cell r="C288" t="str">
            <v>N2</v>
          </cell>
          <cell r="D288" t="str">
            <v>GRAU</v>
          </cell>
        </row>
        <row r="289">
          <cell r="A289" t="str">
            <v>0749</v>
          </cell>
          <cell r="B289" t="str">
            <v>GT LIMA SUR</v>
          </cell>
          <cell r="C289" t="str">
            <v>E</v>
          </cell>
          <cell r="D289" t="str">
            <v>OFICINA PROSEGUR</v>
          </cell>
        </row>
        <row r="290">
          <cell r="A290" t="str">
            <v>0750</v>
          </cell>
          <cell r="B290" t="str">
            <v>GT LIMA ESTE</v>
          </cell>
          <cell r="C290" t="str">
            <v>N1</v>
          </cell>
          <cell r="D290" t="str">
            <v>REAL PLAZA SANTA CLARA</v>
          </cell>
        </row>
        <row r="291">
          <cell r="A291" t="str">
            <v>0751</v>
          </cell>
          <cell r="B291" t="str">
            <v>GT LIMA SUR</v>
          </cell>
          <cell r="C291" t="str">
            <v>N1</v>
          </cell>
          <cell r="D291" t="str">
            <v>EL TRIGAL</v>
          </cell>
        </row>
        <row r="292">
          <cell r="A292" t="str">
            <v>0752</v>
          </cell>
          <cell r="B292" t="str">
            <v>GT LIMA NORTE</v>
          </cell>
          <cell r="C292" t="str">
            <v>N1</v>
          </cell>
          <cell r="D292" t="str">
            <v>SAN FELIPE COMAS</v>
          </cell>
        </row>
        <row r="293">
          <cell r="A293" t="str">
            <v>0755</v>
          </cell>
          <cell r="B293" t="str">
            <v>GT SUR</v>
          </cell>
          <cell r="C293" t="str">
            <v>A+</v>
          </cell>
          <cell r="D293" t="str">
            <v>UNIVERSIDAD SAN PABLO</v>
          </cell>
        </row>
        <row r="294">
          <cell r="A294" t="str">
            <v>0760</v>
          </cell>
          <cell r="B294" t="str">
            <v>GT SURCO - LA MOLINA</v>
          </cell>
          <cell r="C294" t="str">
            <v>N2</v>
          </cell>
          <cell r="D294" t="str">
            <v>LA FLORESTA</v>
          </cell>
        </row>
        <row r="295">
          <cell r="A295" t="str">
            <v>0763</v>
          </cell>
          <cell r="B295" t="str">
            <v>GT SUR</v>
          </cell>
          <cell r="C295" t="str">
            <v>N2</v>
          </cell>
          <cell r="D295" t="str">
            <v>PEDREGAL</v>
          </cell>
        </row>
        <row r="296">
          <cell r="A296" t="str">
            <v>0764</v>
          </cell>
          <cell r="B296" t="str">
            <v>GT SUR</v>
          </cell>
          <cell r="C296" t="str">
            <v>N1</v>
          </cell>
          <cell r="D296" t="str">
            <v>MALL AVENTURA PLAZA AREQUIPA</v>
          </cell>
        </row>
        <row r="297">
          <cell r="A297" t="str">
            <v>0778</v>
          </cell>
          <cell r="B297" t="str">
            <v>GT SUR</v>
          </cell>
          <cell r="C297" t="str">
            <v>N2</v>
          </cell>
          <cell r="D297" t="str">
            <v>CERRO COLORADO</v>
          </cell>
        </row>
        <row r="298">
          <cell r="A298" t="str">
            <v>0782</v>
          </cell>
          <cell r="B298" t="str">
            <v>GT CENTRO</v>
          </cell>
          <cell r="C298" t="str">
            <v>N2</v>
          </cell>
          <cell r="D298" t="str">
            <v>OF. NUEVA MOROCOCHA</v>
          </cell>
        </row>
        <row r="299">
          <cell r="A299" t="str">
            <v>0787</v>
          </cell>
          <cell r="B299" t="str">
            <v>GT SURCO - LA MOLINA</v>
          </cell>
          <cell r="C299" t="str">
            <v>N1</v>
          </cell>
          <cell r="D299" t="str">
            <v>MONTEGRANDE</v>
          </cell>
        </row>
        <row r="300">
          <cell r="A300" t="str">
            <v>0791</v>
          </cell>
          <cell r="B300" t="str">
            <v>GT SURCO - LA MOLINA</v>
          </cell>
          <cell r="C300" t="str">
            <v>N2</v>
          </cell>
          <cell r="D300" t="str">
            <v>LA ROTONDA</v>
          </cell>
        </row>
        <row r="301">
          <cell r="A301" t="str">
            <v>0792</v>
          </cell>
          <cell r="B301" t="str">
            <v>GT LINCE</v>
          </cell>
          <cell r="C301" t="str">
            <v>N1</v>
          </cell>
          <cell r="D301" t="str">
            <v>PNUD (NACIONES UNIDAS)</v>
          </cell>
        </row>
        <row r="302">
          <cell r="A302" t="str">
            <v>0796</v>
          </cell>
          <cell r="B302" t="str">
            <v>GT NORTE</v>
          </cell>
          <cell r="C302" t="str">
            <v>N1</v>
          </cell>
          <cell r="D302" t="str">
            <v>OF. METRO SANTA ELENA</v>
          </cell>
        </row>
        <row r="303">
          <cell r="A303" t="str">
            <v>0827</v>
          </cell>
          <cell r="B303" t="str">
            <v>GT CENTRO</v>
          </cell>
          <cell r="C303" t="str">
            <v>N2</v>
          </cell>
          <cell r="D303" t="str">
            <v>OF. PLAZA DE ARMAS HUANUCO</v>
          </cell>
        </row>
        <row r="304">
          <cell r="A304" t="str">
            <v>0832</v>
          </cell>
          <cell r="B304" t="str">
            <v>GT LIMA ESTE</v>
          </cell>
          <cell r="C304" t="str">
            <v>N2</v>
          </cell>
          <cell r="D304" t="str">
            <v>EL SOL</v>
          </cell>
        </row>
        <row r="305">
          <cell r="A305" t="str">
            <v>0841</v>
          </cell>
          <cell r="B305" t="str">
            <v>GT LIMA NORTE</v>
          </cell>
          <cell r="C305" t="str">
            <v>C</v>
          </cell>
          <cell r="D305" t="str">
            <v>ESPECIAL SENATI</v>
          </cell>
        </row>
        <row r="306">
          <cell r="A306" t="str">
            <v>0842</v>
          </cell>
          <cell r="B306" t="str">
            <v>GT LIMA NORTE</v>
          </cell>
          <cell r="C306" t="str">
            <v>N2</v>
          </cell>
          <cell r="D306" t="str">
            <v>CARABAYLLO</v>
          </cell>
        </row>
        <row r="307">
          <cell r="A307" t="str">
            <v>0843</v>
          </cell>
          <cell r="B307" t="str">
            <v>GT NORTE</v>
          </cell>
          <cell r="C307" t="str">
            <v>N2</v>
          </cell>
          <cell r="D307" t="str">
            <v>OF. OVALO PAPAL</v>
          </cell>
        </row>
        <row r="308">
          <cell r="A308" t="str">
            <v>0847</v>
          </cell>
          <cell r="B308" t="str">
            <v>GT LIMA NORTE</v>
          </cell>
          <cell r="C308" t="str">
            <v>N2</v>
          </cell>
          <cell r="D308" t="str">
            <v>EL RETABLO</v>
          </cell>
        </row>
        <row r="309">
          <cell r="A309" t="str">
            <v>0849</v>
          </cell>
          <cell r="B309" t="str">
            <v>GT LIMA SUR</v>
          </cell>
          <cell r="C309" t="str">
            <v>N2</v>
          </cell>
          <cell r="D309" t="str">
            <v>CEDROS DE VILLA</v>
          </cell>
        </row>
        <row r="310">
          <cell r="A310" t="str">
            <v>0852</v>
          </cell>
          <cell r="B310" t="str">
            <v>GT MIRAFLORES - SAN BORJA</v>
          </cell>
          <cell r="C310" t="str">
            <v>N2</v>
          </cell>
          <cell r="D310" t="str">
            <v>COMANDANTE ESPINAR 2</v>
          </cell>
        </row>
        <row r="311">
          <cell r="A311" t="str">
            <v>0857</v>
          </cell>
          <cell r="B311" t="str">
            <v>GT LIMA SUR</v>
          </cell>
          <cell r="C311" t="str">
            <v>N2</v>
          </cell>
          <cell r="D311" t="str">
            <v>VALLE SHARON</v>
          </cell>
        </row>
        <row r="312">
          <cell r="A312" t="str">
            <v>0868</v>
          </cell>
          <cell r="B312" t="str">
            <v>GT NORTE SUR CHICO</v>
          </cell>
          <cell r="C312" t="str">
            <v>E</v>
          </cell>
          <cell r="D312" t="str">
            <v>OF. MALA</v>
          </cell>
        </row>
        <row r="313">
          <cell r="A313" t="str">
            <v>0870</v>
          </cell>
          <cell r="B313" t="str">
            <v>GT SUR</v>
          </cell>
          <cell r="C313" t="str">
            <v>N1</v>
          </cell>
          <cell r="D313" t="str">
            <v>PARQUE LAMBRAMANI</v>
          </cell>
        </row>
        <row r="314">
          <cell r="A314" t="str">
            <v>0872</v>
          </cell>
          <cell r="B314" t="str">
            <v>GT LIMA SUR</v>
          </cell>
          <cell r="C314" t="str">
            <v>N1</v>
          </cell>
          <cell r="D314" t="str">
            <v>PARQUE DE LA AMISTAD</v>
          </cell>
        </row>
        <row r="315">
          <cell r="A315" t="str">
            <v>0873</v>
          </cell>
          <cell r="B315" t="str">
            <v>GT LIMA SUR</v>
          </cell>
          <cell r="C315" t="str">
            <v>N2</v>
          </cell>
          <cell r="D315" t="str">
            <v>LA CAMPIÑA</v>
          </cell>
        </row>
        <row r="316">
          <cell r="A316" t="str">
            <v>0875</v>
          </cell>
          <cell r="B316" t="str">
            <v>GT CALLAO SAN MIGUEL</v>
          </cell>
          <cell r="C316" t="str">
            <v>B</v>
          </cell>
          <cell r="D316" t="str">
            <v>ESPECIAL DP WORLD</v>
          </cell>
        </row>
        <row r="317">
          <cell r="A317" t="str">
            <v>0876</v>
          </cell>
          <cell r="B317" t="str">
            <v>GT LINCE</v>
          </cell>
          <cell r="C317" t="str">
            <v>N2</v>
          </cell>
          <cell r="D317" t="str">
            <v>JAVIER PRADO OESTE</v>
          </cell>
        </row>
        <row r="318">
          <cell r="A318" t="str">
            <v>0879</v>
          </cell>
          <cell r="B318" t="str">
            <v>GT SURCO - LA MOLINA</v>
          </cell>
          <cell r="C318" t="str">
            <v>N2</v>
          </cell>
          <cell r="D318" t="str">
            <v>LA ENCALADA</v>
          </cell>
        </row>
        <row r="319">
          <cell r="A319" t="str">
            <v>0880</v>
          </cell>
          <cell r="B319" t="str">
            <v>GT LIMA ESTE</v>
          </cell>
          <cell r="C319">
            <v>0</v>
          </cell>
          <cell r="D319" t="str">
            <v>CAQUETÁ</v>
          </cell>
        </row>
        <row r="320">
          <cell r="A320" t="str">
            <v>0891</v>
          </cell>
          <cell r="B320" t="str">
            <v>GT NOR ORIENTE</v>
          </cell>
          <cell r="C320" t="str">
            <v>C</v>
          </cell>
          <cell r="D320" t="str">
            <v>OF. EXPRESS RIOJA</v>
          </cell>
        </row>
        <row r="321">
          <cell r="A321" t="str">
            <v>0900</v>
          </cell>
          <cell r="B321" t="str">
            <v>GT NORTE</v>
          </cell>
          <cell r="C321" t="str">
            <v>D</v>
          </cell>
          <cell r="D321" t="str">
            <v>OF. MALL PLAZA TRUJILLO</v>
          </cell>
        </row>
        <row r="322">
          <cell r="A322" t="str">
            <v>0908</v>
          </cell>
          <cell r="B322" t="str">
            <v>GT SUR</v>
          </cell>
          <cell r="C322" t="str">
            <v>N2</v>
          </cell>
          <cell r="D322" t="str">
            <v>OF. YANAHUARA</v>
          </cell>
        </row>
        <row r="323">
          <cell r="A323" t="str">
            <v>0918</v>
          </cell>
          <cell r="B323" t="str">
            <v>GT NORTE</v>
          </cell>
          <cell r="C323" t="str">
            <v>E</v>
          </cell>
          <cell r="D323" t="str">
            <v>OF.REAL PLAZA TRUJILLO</v>
          </cell>
        </row>
        <row r="324">
          <cell r="A324" t="str">
            <v>0921</v>
          </cell>
          <cell r="B324" t="str">
            <v>GT CALLAO SAN MIGUEL</v>
          </cell>
          <cell r="C324" t="str">
            <v>E</v>
          </cell>
          <cell r="D324" t="str">
            <v>LIMA CARGO CITY</v>
          </cell>
        </row>
        <row r="325">
          <cell r="A325" t="str">
            <v>0933</v>
          </cell>
          <cell r="B325" t="str">
            <v>GT LIMA SUR</v>
          </cell>
          <cell r="C325" t="str">
            <v>E</v>
          </cell>
          <cell r="D325" t="str">
            <v>LURIN</v>
          </cell>
        </row>
        <row r="326">
          <cell r="A326" t="str">
            <v>0939</v>
          </cell>
          <cell r="B326" t="str">
            <v>GT MIRAFLORES - SAN BORJA</v>
          </cell>
          <cell r="C326" t="str">
            <v>N2</v>
          </cell>
          <cell r="D326" t="str">
            <v>OVALO MIRAFLORES</v>
          </cell>
        </row>
        <row r="327">
          <cell r="A327" t="str">
            <v>0960</v>
          </cell>
          <cell r="B327" t="str">
            <v>GT LINCE</v>
          </cell>
          <cell r="C327" t="str">
            <v>N2</v>
          </cell>
          <cell r="D327" t="str">
            <v>PLAZA SAN JOSE</v>
          </cell>
        </row>
        <row r="328">
          <cell r="A328" t="str">
            <v>0970</v>
          </cell>
          <cell r="B328" t="str">
            <v>GT LIMA NORTE</v>
          </cell>
          <cell r="C328" t="str">
            <v>N1</v>
          </cell>
          <cell r="D328" t="str">
            <v>OVALO NARANJAL</v>
          </cell>
        </row>
        <row r="329">
          <cell r="A329" t="str">
            <v>0976</v>
          </cell>
          <cell r="B329" t="str">
            <v>GT SUR</v>
          </cell>
          <cell r="C329" t="str">
            <v>N2</v>
          </cell>
          <cell r="D329" t="str">
            <v>OF. LAS BAMBAS</v>
          </cell>
        </row>
        <row r="330">
          <cell r="A330" t="str">
            <v>0982</v>
          </cell>
          <cell r="B330" t="str">
            <v>GT NOR ORIENTE</v>
          </cell>
          <cell r="C330" t="str">
            <v>N2</v>
          </cell>
          <cell r="D330" t="str">
            <v>OPEN PLAZA PUCALLPA</v>
          </cell>
        </row>
        <row r="331">
          <cell r="A331" t="str">
            <v>0999</v>
          </cell>
          <cell r="B331" t="str">
            <v>GT SURCO - LA MOLINA</v>
          </cell>
          <cell r="C331">
            <v>0</v>
          </cell>
          <cell r="D331" t="str">
            <v>CHAMA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9">
    <tabColor theme="4" tint="-0.499984740745262"/>
  </sheetPr>
  <dimension ref="A1:CY17"/>
  <sheetViews>
    <sheetView showGridLines="0" zoomScale="80" zoomScaleNormal="80" workbookViewId="0">
      <selection activeCell="H25" sqref="H25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12" customFormat="1" ht="7.5" customHeight="1" x14ac:dyDescent="0.3">
      <c r="A1" s="1"/>
      <c r="B1" s="2"/>
      <c r="C1" s="3"/>
      <c r="D1" s="4"/>
      <c r="E1" s="4"/>
      <c r="F1" s="5"/>
      <c r="G1" s="5"/>
      <c r="H1" s="3"/>
      <c r="I1" s="3"/>
      <c r="J1" s="2"/>
      <c r="K1" s="3"/>
      <c r="L1" s="5"/>
      <c r="M1" s="6"/>
      <c r="N1" s="5"/>
      <c r="O1" s="3"/>
      <c r="P1" s="7"/>
      <c r="Q1" s="8"/>
      <c r="R1" s="3"/>
      <c r="S1" s="9"/>
      <c r="T1" s="7"/>
      <c r="U1" s="7"/>
      <c r="V1" s="7"/>
      <c r="W1" s="7"/>
      <c r="X1" s="7"/>
      <c r="Y1" s="7"/>
      <c r="Z1" s="7"/>
      <c r="AA1" s="10"/>
      <c r="AB1" s="10"/>
      <c r="AC1" s="9"/>
      <c r="AD1" s="7"/>
      <c r="AE1" s="10"/>
      <c r="AF1" s="7"/>
      <c r="AG1" s="9"/>
      <c r="AH1" s="7"/>
      <c r="AI1" s="7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1:103" s="12" customFormat="1" ht="7.5" customHeight="1" x14ac:dyDescent="0.3">
      <c r="A2" s="13"/>
      <c r="B2" s="14"/>
      <c r="C2" s="13"/>
      <c r="D2" s="13"/>
      <c r="E2" s="13"/>
      <c r="F2" s="13"/>
      <c r="G2" s="13"/>
      <c r="H2" s="13"/>
      <c r="I2" s="13"/>
      <c r="J2" s="14"/>
      <c r="K2" s="13"/>
      <c r="L2" s="13"/>
      <c r="M2" s="15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</row>
    <row r="3" spans="1:103" s="12" customFormat="1" ht="7.5" customHeight="1" x14ac:dyDescent="0.3">
      <c r="A3" s="17"/>
      <c r="B3" s="18"/>
      <c r="C3" s="19"/>
      <c r="D3" s="20"/>
      <c r="E3" s="20"/>
      <c r="F3" s="21"/>
      <c r="G3" s="21"/>
      <c r="H3" s="19"/>
      <c r="I3" s="19"/>
      <c r="J3" s="18"/>
      <c r="K3" s="19"/>
      <c r="L3" s="21"/>
      <c r="M3" s="22"/>
      <c r="N3" s="21"/>
      <c r="O3" s="19"/>
      <c r="P3" s="23"/>
      <c r="Q3" s="24"/>
      <c r="R3" s="19"/>
      <c r="S3" s="25"/>
      <c r="T3" s="23"/>
      <c r="U3" s="23"/>
      <c r="V3" s="23"/>
      <c r="W3" s="23"/>
      <c r="X3" s="23"/>
      <c r="Y3" s="23"/>
      <c r="Z3" s="23"/>
      <c r="AA3" s="26"/>
      <c r="AB3" s="26"/>
      <c r="AC3" s="25"/>
      <c r="AD3" s="23"/>
      <c r="AE3" s="26"/>
      <c r="AF3" s="23"/>
      <c r="AG3" s="25"/>
      <c r="AH3" s="23"/>
      <c r="AI3" s="23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</row>
    <row r="4" spans="1:103" s="12" customFormat="1" ht="7.5" customHeight="1" x14ac:dyDescent="0.3">
      <c r="A4" s="27"/>
      <c r="B4" s="28"/>
      <c r="C4" s="29"/>
      <c r="D4" s="30"/>
      <c r="E4" s="30"/>
      <c r="F4" s="31"/>
      <c r="G4" s="31"/>
      <c r="H4" s="29"/>
      <c r="I4" s="29"/>
      <c r="J4" s="28"/>
      <c r="K4" s="29"/>
      <c r="L4" s="31"/>
      <c r="M4" s="32"/>
      <c r="N4" s="31"/>
      <c r="O4" s="29"/>
      <c r="P4" s="33"/>
      <c r="Q4" s="34"/>
      <c r="R4" s="29"/>
      <c r="S4" s="35"/>
      <c r="T4" s="33"/>
      <c r="U4" s="33"/>
      <c r="V4" s="33"/>
      <c r="W4" s="33"/>
      <c r="X4" s="33"/>
      <c r="Y4" s="33"/>
      <c r="Z4" s="33"/>
      <c r="AA4" s="36"/>
      <c r="AB4" s="36"/>
      <c r="AC4" s="35"/>
      <c r="AD4" s="33"/>
      <c r="AE4" s="36"/>
      <c r="AF4" s="33"/>
      <c r="AG4" s="35"/>
      <c r="AH4" s="33"/>
      <c r="AI4" s="33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</row>
    <row r="5" spans="1:103" s="12" customFormat="1" ht="7.5" customHeight="1" x14ac:dyDescent="0.3">
      <c r="A5" s="37"/>
      <c r="B5" s="38"/>
      <c r="C5" s="39"/>
      <c r="D5" s="40"/>
      <c r="E5" s="40"/>
      <c r="F5" s="41"/>
      <c r="G5" s="41"/>
      <c r="H5" s="39"/>
      <c r="I5" s="39"/>
      <c r="J5" s="38"/>
      <c r="K5" s="39"/>
      <c r="L5" s="41"/>
      <c r="M5" s="42"/>
      <c r="N5" s="41"/>
      <c r="O5" s="39"/>
      <c r="P5" s="43"/>
      <c r="Q5" s="44"/>
      <c r="R5" s="39"/>
      <c r="S5" s="45"/>
      <c r="T5" s="43"/>
      <c r="U5" s="43"/>
      <c r="V5" s="43"/>
      <c r="W5" s="43"/>
      <c r="X5" s="43"/>
      <c r="Y5" s="43"/>
      <c r="Z5" s="43"/>
      <c r="AA5" s="46"/>
      <c r="AB5" s="46"/>
      <c r="AC5" s="45"/>
      <c r="AD5" s="43"/>
      <c r="AE5" s="46"/>
      <c r="AF5" s="43"/>
      <c r="AG5" s="45"/>
      <c r="AH5" s="43"/>
      <c r="AI5" s="43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</row>
    <row r="6" spans="1:103" s="12" customFormat="1" ht="7.5" customHeight="1" x14ac:dyDescent="0.3">
      <c r="A6" s="47"/>
      <c r="B6" s="48"/>
      <c r="C6" s="49"/>
      <c r="D6" s="50"/>
      <c r="E6" s="50"/>
      <c r="F6" s="51"/>
      <c r="G6" s="51"/>
      <c r="H6" s="49"/>
      <c r="I6" s="49"/>
      <c r="J6" s="48"/>
      <c r="K6" s="49"/>
      <c r="L6" s="51"/>
      <c r="M6" s="52"/>
      <c r="N6" s="51"/>
      <c r="O6" s="49"/>
      <c r="P6" s="53"/>
      <c r="Q6" s="54"/>
      <c r="R6" s="49"/>
      <c r="S6" s="55"/>
      <c r="T6" s="53"/>
      <c r="U6" s="53"/>
      <c r="V6" s="53"/>
      <c r="W6" s="53"/>
      <c r="X6" s="53"/>
      <c r="Y6" s="53"/>
      <c r="Z6" s="53"/>
      <c r="AA6" s="56"/>
      <c r="AB6" s="56"/>
      <c r="AC6" s="55"/>
      <c r="AD6" s="53"/>
      <c r="AE6" s="56"/>
      <c r="AF6" s="53"/>
      <c r="AG6" s="55"/>
      <c r="AH6" s="53"/>
      <c r="AI6" s="53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</row>
    <row r="9" spans="1:103" x14ac:dyDescent="0.3">
      <c r="D9" t="s">
        <v>103</v>
      </c>
    </row>
    <row r="11" spans="1:103" x14ac:dyDescent="0.3">
      <c r="D11" t="s">
        <v>104</v>
      </c>
    </row>
    <row r="15" spans="1:103" x14ac:dyDescent="0.3">
      <c r="E15" t="s">
        <v>100</v>
      </c>
    </row>
    <row r="16" spans="1:103" x14ac:dyDescent="0.3">
      <c r="E16" t="s">
        <v>101</v>
      </c>
    </row>
    <row r="17" spans="5:5" x14ac:dyDescent="0.3">
      <c r="E17" t="s">
        <v>102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o_V_V_MC">
                <anchor>
                  <from>
                    <xdr:col>3</xdr:col>
                    <xdr:colOff>68580</xdr:colOff>
                    <xdr:row>11</xdr:row>
                    <xdr:rowOff>137160</xdr:rowOff>
                  </from>
                  <to>
                    <xdr:col>5</xdr:col>
                    <xdr:colOff>594360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-0.499984740745262"/>
  </sheetPr>
  <dimension ref="A1:N137"/>
  <sheetViews>
    <sheetView tabSelected="1" zoomScale="80" zoomScaleNormal="80" workbookViewId="0">
      <pane ySplit="2" topLeftCell="A3" activePane="bottomLeft" state="frozen"/>
      <selection pane="bottomLeft" sqref="A1:XFD1048576"/>
    </sheetView>
  </sheetViews>
  <sheetFormatPr baseColWidth="10" defaultRowHeight="14.4" x14ac:dyDescent="0.3"/>
  <cols>
    <col min="1" max="1" width="5.5546875" style="62" bestFit="1" customWidth="1"/>
    <col min="2" max="2" width="5" style="62" bestFit="1" customWidth="1"/>
    <col min="3" max="3" width="5.6640625" style="62" bestFit="1" customWidth="1"/>
    <col min="4" max="4" width="24.44140625" bestFit="1" customWidth="1"/>
    <col min="5" max="5" width="37.88671875" bestFit="1" customWidth="1"/>
    <col min="6" max="6" width="11.33203125" style="57" bestFit="1" customWidth="1"/>
    <col min="7" max="7" width="4.5546875" customWidth="1"/>
    <col min="8" max="8" width="5.5546875" style="62" bestFit="1" customWidth="1"/>
    <col min="9" max="9" width="5" style="64" bestFit="1" customWidth="1"/>
    <col min="10" max="10" width="11.33203125" style="62" bestFit="1" customWidth="1"/>
    <col min="11" max="11" width="5.6640625" style="62" bestFit="1" customWidth="1"/>
    <col min="12" max="12" width="11.5546875" style="108" bestFit="1" customWidth="1"/>
    <col min="13" max="13" width="24.44140625" bestFit="1" customWidth="1"/>
    <col min="14" max="14" width="18.44140625" style="108" bestFit="1" customWidth="1"/>
  </cols>
  <sheetData>
    <row r="1" spans="1:14" x14ac:dyDescent="0.3">
      <c r="A1" s="157" t="s">
        <v>93</v>
      </c>
      <c r="B1" s="157"/>
      <c r="C1" s="157"/>
      <c r="D1" s="157"/>
      <c r="E1" s="157"/>
      <c r="F1" s="157"/>
      <c r="H1" s="157" t="s">
        <v>94</v>
      </c>
      <c r="I1" s="157"/>
      <c r="J1" s="157"/>
      <c r="K1" s="157"/>
      <c r="L1" s="157"/>
      <c r="M1" s="157"/>
      <c r="N1" s="157"/>
    </row>
    <row r="2" spans="1:14" x14ac:dyDescent="0.3">
      <c r="A2" s="58" t="s">
        <v>4</v>
      </c>
      <c r="B2" s="58" t="s">
        <v>3</v>
      </c>
      <c r="C2" s="58" t="s">
        <v>18</v>
      </c>
      <c r="D2" s="58" t="s">
        <v>0</v>
      </c>
      <c r="E2" s="58" t="s">
        <v>5</v>
      </c>
      <c r="F2" s="59" t="s">
        <v>17</v>
      </c>
      <c r="H2" s="58" t="s">
        <v>4</v>
      </c>
      <c r="I2" s="106" t="s">
        <v>3</v>
      </c>
      <c r="J2" s="58" t="s">
        <v>21</v>
      </c>
      <c r="K2" s="58" t="s">
        <v>18</v>
      </c>
      <c r="L2" s="59" t="s">
        <v>20</v>
      </c>
      <c r="M2" s="58" t="s">
        <v>5</v>
      </c>
      <c r="N2" s="59" t="s">
        <v>19</v>
      </c>
    </row>
    <row r="3" spans="1:14" x14ac:dyDescent="0.3">
      <c r="A3" s="107">
        <v>2019</v>
      </c>
      <c r="B3" s="107">
        <v>1</v>
      </c>
      <c r="C3" s="107" t="s">
        <v>11</v>
      </c>
      <c r="D3" s="60" t="s">
        <v>10</v>
      </c>
      <c r="E3" s="60" t="s">
        <v>10</v>
      </c>
      <c r="F3" s="61">
        <v>1369</v>
      </c>
      <c r="H3"/>
      <c r="I3"/>
      <c r="J3"/>
      <c r="K3"/>
      <c r="L3"/>
      <c r="N3"/>
    </row>
    <row r="4" spans="1:14" x14ac:dyDescent="0.3">
      <c r="A4" s="107">
        <v>2019</v>
      </c>
      <c r="B4" s="107">
        <v>1</v>
      </c>
      <c r="C4" s="107" t="s">
        <v>11</v>
      </c>
      <c r="D4" s="60" t="s">
        <v>6</v>
      </c>
      <c r="E4" s="60" t="s">
        <v>1</v>
      </c>
      <c r="F4" s="61">
        <v>2131</v>
      </c>
      <c r="H4"/>
      <c r="I4"/>
      <c r="J4"/>
      <c r="K4"/>
      <c r="L4"/>
      <c r="N4"/>
    </row>
    <row r="5" spans="1:14" x14ac:dyDescent="0.3">
      <c r="A5" s="107">
        <v>2019</v>
      </c>
      <c r="B5" s="107">
        <v>1</v>
      </c>
      <c r="C5" s="107" t="s">
        <v>11</v>
      </c>
      <c r="D5" s="60" t="s">
        <v>6</v>
      </c>
      <c r="E5" s="60" t="s">
        <v>7</v>
      </c>
      <c r="F5" s="61">
        <v>0</v>
      </c>
      <c r="H5"/>
      <c r="I5"/>
      <c r="J5"/>
      <c r="K5"/>
      <c r="L5"/>
      <c r="N5"/>
    </row>
    <row r="6" spans="1:14" x14ac:dyDescent="0.3">
      <c r="A6" s="107">
        <v>2019</v>
      </c>
      <c r="B6" s="107">
        <v>1</v>
      </c>
      <c r="C6" s="107" t="s">
        <v>11</v>
      </c>
      <c r="D6" s="60" t="s">
        <v>6</v>
      </c>
      <c r="E6" s="60" t="s">
        <v>2</v>
      </c>
      <c r="F6" s="61">
        <v>90</v>
      </c>
      <c r="H6"/>
      <c r="I6"/>
      <c r="J6"/>
      <c r="K6"/>
      <c r="L6"/>
      <c r="N6"/>
    </row>
    <row r="7" spans="1:14" x14ac:dyDescent="0.3">
      <c r="A7" s="107">
        <v>2019</v>
      </c>
      <c r="B7" s="107">
        <v>1</v>
      </c>
      <c r="C7" s="107" t="s">
        <v>11</v>
      </c>
      <c r="D7" s="60" t="s">
        <v>14</v>
      </c>
      <c r="E7" s="60" t="s">
        <v>8</v>
      </c>
      <c r="F7" s="61">
        <v>1</v>
      </c>
      <c r="H7"/>
      <c r="I7"/>
      <c r="J7"/>
      <c r="K7"/>
      <c r="L7"/>
      <c r="N7"/>
    </row>
    <row r="8" spans="1:14" x14ac:dyDescent="0.3">
      <c r="A8" s="107">
        <v>2019</v>
      </c>
      <c r="B8" s="107">
        <v>1</v>
      </c>
      <c r="C8" s="107" t="s">
        <v>11</v>
      </c>
      <c r="D8" s="60" t="s">
        <v>9</v>
      </c>
      <c r="E8" s="60" t="s">
        <v>9</v>
      </c>
      <c r="F8" s="61">
        <v>0</v>
      </c>
      <c r="H8"/>
      <c r="I8"/>
      <c r="J8"/>
      <c r="K8"/>
      <c r="L8"/>
      <c r="N8"/>
    </row>
    <row r="9" spans="1:14" x14ac:dyDescent="0.3">
      <c r="A9" s="107">
        <v>2019</v>
      </c>
      <c r="B9" s="107">
        <v>1</v>
      </c>
      <c r="C9" s="107" t="s">
        <v>12</v>
      </c>
      <c r="D9" s="60" t="s">
        <v>28</v>
      </c>
      <c r="E9" s="60" t="s">
        <v>15</v>
      </c>
      <c r="F9" s="61">
        <v>6654</v>
      </c>
      <c r="H9"/>
      <c r="I9"/>
      <c r="J9"/>
      <c r="K9"/>
      <c r="L9"/>
      <c r="N9"/>
    </row>
    <row r="10" spans="1:14" x14ac:dyDescent="0.3">
      <c r="A10" s="107">
        <v>2019</v>
      </c>
      <c r="B10" s="107">
        <v>1</v>
      </c>
      <c r="C10" s="107" t="s">
        <v>12</v>
      </c>
      <c r="D10" s="60" t="s">
        <v>28</v>
      </c>
      <c r="E10" s="60" t="s">
        <v>16</v>
      </c>
      <c r="F10" s="61">
        <v>8361</v>
      </c>
      <c r="H10"/>
      <c r="I10"/>
      <c r="J10"/>
      <c r="K10"/>
      <c r="L10"/>
      <c r="N10"/>
    </row>
    <row r="11" spans="1:14" x14ac:dyDescent="0.3">
      <c r="A11" s="107">
        <v>2019</v>
      </c>
      <c r="B11" s="107">
        <v>1</v>
      </c>
      <c r="C11" s="107" t="s">
        <v>12</v>
      </c>
      <c r="D11" s="60" t="s">
        <v>28</v>
      </c>
      <c r="E11" s="60" t="s">
        <v>13</v>
      </c>
      <c r="F11" s="61">
        <v>10004</v>
      </c>
      <c r="H11"/>
      <c r="I11"/>
      <c r="J11"/>
      <c r="K11"/>
      <c r="L11"/>
      <c r="N11"/>
    </row>
    <row r="12" spans="1:14" x14ac:dyDescent="0.3">
      <c r="A12" s="107">
        <v>2019</v>
      </c>
      <c r="B12" s="107">
        <v>2</v>
      </c>
      <c r="C12" s="107" t="s">
        <v>11</v>
      </c>
      <c r="D12" s="60" t="s">
        <v>10</v>
      </c>
      <c r="E12" s="60" t="s">
        <v>10</v>
      </c>
      <c r="F12" s="61">
        <v>1291</v>
      </c>
      <c r="H12"/>
      <c r="I12"/>
      <c r="J12"/>
      <c r="K12"/>
      <c r="L12"/>
      <c r="N12"/>
    </row>
    <row r="13" spans="1:14" x14ac:dyDescent="0.3">
      <c r="A13" s="107">
        <v>2019</v>
      </c>
      <c r="B13" s="107">
        <v>2</v>
      </c>
      <c r="C13" s="107" t="s">
        <v>11</v>
      </c>
      <c r="D13" s="60" t="s">
        <v>6</v>
      </c>
      <c r="E13" s="60" t="s">
        <v>1</v>
      </c>
      <c r="F13" s="61">
        <v>2178</v>
      </c>
      <c r="H13"/>
      <c r="I13"/>
      <c r="J13"/>
      <c r="K13"/>
      <c r="L13"/>
      <c r="N13"/>
    </row>
    <row r="14" spans="1:14" x14ac:dyDescent="0.3">
      <c r="A14" s="107">
        <v>2019</v>
      </c>
      <c r="B14" s="107">
        <v>2</v>
      </c>
      <c r="C14" s="107" t="s">
        <v>11</v>
      </c>
      <c r="D14" s="60" t="s">
        <v>6</v>
      </c>
      <c r="E14" s="60" t="s">
        <v>7</v>
      </c>
      <c r="F14" s="61">
        <v>0</v>
      </c>
      <c r="H14"/>
      <c r="I14"/>
      <c r="J14"/>
      <c r="K14"/>
      <c r="L14"/>
      <c r="N14"/>
    </row>
    <row r="15" spans="1:14" x14ac:dyDescent="0.3">
      <c r="A15" s="107">
        <v>2019</v>
      </c>
      <c r="B15" s="107">
        <v>2</v>
      </c>
      <c r="C15" s="107" t="s">
        <v>11</v>
      </c>
      <c r="D15" s="60" t="s">
        <v>6</v>
      </c>
      <c r="E15" s="60" t="s">
        <v>2</v>
      </c>
      <c r="F15" s="61">
        <v>133</v>
      </c>
      <c r="H15"/>
      <c r="I15"/>
      <c r="J15"/>
      <c r="K15"/>
      <c r="L15"/>
      <c r="N15"/>
    </row>
    <row r="16" spans="1:14" x14ac:dyDescent="0.3">
      <c r="A16" s="107">
        <v>2019</v>
      </c>
      <c r="B16" s="107">
        <v>2</v>
      </c>
      <c r="C16" s="107" t="s">
        <v>11</v>
      </c>
      <c r="D16" s="60" t="s">
        <v>14</v>
      </c>
      <c r="E16" s="60" t="s">
        <v>8</v>
      </c>
      <c r="F16" s="61">
        <v>0</v>
      </c>
      <c r="H16"/>
      <c r="I16"/>
      <c r="J16"/>
      <c r="K16"/>
      <c r="L16"/>
      <c r="N16"/>
    </row>
    <row r="17" spans="1:14" x14ac:dyDescent="0.3">
      <c r="A17" s="107">
        <v>2019</v>
      </c>
      <c r="B17" s="107">
        <v>2</v>
      </c>
      <c r="C17" s="107" t="s">
        <v>11</v>
      </c>
      <c r="D17" s="60" t="s">
        <v>9</v>
      </c>
      <c r="E17" s="60" t="s">
        <v>9</v>
      </c>
      <c r="F17" s="61">
        <v>0</v>
      </c>
      <c r="H17"/>
      <c r="I17"/>
      <c r="J17"/>
      <c r="K17"/>
      <c r="L17"/>
      <c r="N17"/>
    </row>
    <row r="18" spans="1:14" x14ac:dyDescent="0.3">
      <c r="A18" s="107">
        <v>2019</v>
      </c>
      <c r="B18" s="107">
        <v>2</v>
      </c>
      <c r="C18" s="107" t="s">
        <v>12</v>
      </c>
      <c r="D18" s="60" t="s">
        <v>28</v>
      </c>
      <c r="E18" s="60" t="s">
        <v>15</v>
      </c>
      <c r="F18" s="61">
        <v>9194</v>
      </c>
      <c r="H18"/>
      <c r="I18"/>
      <c r="J18"/>
      <c r="K18"/>
      <c r="L18"/>
      <c r="N18"/>
    </row>
    <row r="19" spans="1:14" x14ac:dyDescent="0.3">
      <c r="A19" s="107">
        <v>2019</v>
      </c>
      <c r="B19" s="107">
        <v>2</v>
      </c>
      <c r="C19" s="107" t="s">
        <v>12</v>
      </c>
      <c r="D19" s="60" t="s">
        <v>28</v>
      </c>
      <c r="E19" s="60" t="s">
        <v>16</v>
      </c>
      <c r="F19" s="61">
        <v>2420</v>
      </c>
      <c r="H19"/>
      <c r="I19"/>
      <c r="J19"/>
      <c r="K19"/>
      <c r="L19"/>
      <c r="N19"/>
    </row>
    <row r="20" spans="1:14" x14ac:dyDescent="0.3">
      <c r="A20" s="107">
        <v>2019</v>
      </c>
      <c r="B20" s="107">
        <v>2</v>
      </c>
      <c r="C20" s="107" t="s">
        <v>12</v>
      </c>
      <c r="D20" s="60" t="s">
        <v>28</v>
      </c>
      <c r="E20" s="60" t="s">
        <v>13</v>
      </c>
      <c r="F20" s="61">
        <v>11574</v>
      </c>
      <c r="H20"/>
      <c r="I20"/>
      <c r="J20"/>
      <c r="K20"/>
      <c r="L20"/>
      <c r="N20"/>
    </row>
    <row r="21" spans="1:14" x14ac:dyDescent="0.3">
      <c r="A21" s="107">
        <v>2019</v>
      </c>
      <c r="B21" s="107">
        <v>3</v>
      </c>
      <c r="C21" s="107" t="s">
        <v>11</v>
      </c>
      <c r="D21" s="60" t="s">
        <v>10</v>
      </c>
      <c r="E21" s="60" t="s">
        <v>10</v>
      </c>
      <c r="F21" s="61">
        <v>1069</v>
      </c>
      <c r="H21"/>
      <c r="I21"/>
      <c r="J21"/>
      <c r="K21"/>
      <c r="L21"/>
      <c r="N21"/>
    </row>
    <row r="22" spans="1:14" x14ac:dyDescent="0.3">
      <c r="A22" s="107">
        <v>2019</v>
      </c>
      <c r="B22" s="107">
        <v>3</v>
      </c>
      <c r="C22" s="107" t="s">
        <v>11</v>
      </c>
      <c r="D22" s="60" t="s">
        <v>6</v>
      </c>
      <c r="E22" s="60" t="s">
        <v>1</v>
      </c>
      <c r="F22" s="61">
        <v>1406</v>
      </c>
      <c r="H22"/>
      <c r="I22"/>
      <c r="J22"/>
      <c r="K22"/>
      <c r="L22"/>
      <c r="N22"/>
    </row>
    <row r="23" spans="1:14" x14ac:dyDescent="0.3">
      <c r="A23" s="107">
        <v>2019</v>
      </c>
      <c r="B23" s="107">
        <v>3</v>
      </c>
      <c r="C23" s="107" t="s">
        <v>11</v>
      </c>
      <c r="D23" s="60" t="s">
        <v>6</v>
      </c>
      <c r="E23" s="60" t="s">
        <v>7</v>
      </c>
      <c r="F23" s="61">
        <v>1</v>
      </c>
      <c r="H23"/>
      <c r="I23"/>
      <c r="J23"/>
      <c r="K23"/>
      <c r="L23"/>
      <c r="N23"/>
    </row>
    <row r="24" spans="1:14" x14ac:dyDescent="0.3">
      <c r="A24" s="107">
        <v>2019</v>
      </c>
      <c r="B24" s="107">
        <v>3</v>
      </c>
      <c r="C24" s="107" t="s">
        <v>11</v>
      </c>
      <c r="D24" s="60" t="s">
        <v>6</v>
      </c>
      <c r="E24" s="60" t="s">
        <v>2</v>
      </c>
      <c r="F24" s="61">
        <v>112</v>
      </c>
      <c r="H24"/>
      <c r="I24"/>
      <c r="J24"/>
      <c r="K24"/>
      <c r="L24"/>
      <c r="N24"/>
    </row>
    <row r="25" spans="1:14" x14ac:dyDescent="0.3">
      <c r="A25" s="107">
        <v>2019</v>
      </c>
      <c r="B25" s="107">
        <v>3</v>
      </c>
      <c r="C25" s="107" t="s">
        <v>11</v>
      </c>
      <c r="D25" s="60" t="s">
        <v>14</v>
      </c>
      <c r="E25" s="60" t="s">
        <v>8</v>
      </c>
      <c r="F25" s="61">
        <v>0</v>
      </c>
      <c r="H25"/>
      <c r="I25"/>
      <c r="J25"/>
      <c r="K25"/>
      <c r="L25"/>
      <c r="N25"/>
    </row>
    <row r="26" spans="1:14" x14ac:dyDescent="0.3">
      <c r="A26" s="107">
        <v>2019</v>
      </c>
      <c r="B26" s="107">
        <v>3</v>
      </c>
      <c r="C26" s="107" t="s">
        <v>11</v>
      </c>
      <c r="D26" s="60" t="s">
        <v>9</v>
      </c>
      <c r="E26" s="60" t="s">
        <v>9</v>
      </c>
      <c r="F26" s="61">
        <v>0</v>
      </c>
      <c r="H26"/>
      <c r="I26"/>
      <c r="J26"/>
      <c r="K26"/>
      <c r="L26"/>
      <c r="N26"/>
    </row>
    <row r="27" spans="1:14" x14ac:dyDescent="0.3">
      <c r="A27" s="107">
        <v>2019</v>
      </c>
      <c r="B27" s="107">
        <v>3</v>
      </c>
      <c r="C27" s="107" t="s">
        <v>12</v>
      </c>
      <c r="D27" s="60" t="s">
        <v>28</v>
      </c>
      <c r="E27" s="60" t="s">
        <v>15</v>
      </c>
      <c r="F27" s="61">
        <v>12142</v>
      </c>
      <c r="H27"/>
      <c r="I27"/>
      <c r="J27"/>
      <c r="K27"/>
      <c r="L27"/>
      <c r="N27"/>
    </row>
    <row r="28" spans="1:14" x14ac:dyDescent="0.3">
      <c r="A28" s="107">
        <v>2019</v>
      </c>
      <c r="B28" s="107">
        <v>3</v>
      </c>
      <c r="C28" s="107" t="s">
        <v>12</v>
      </c>
      <c r="D28" s="60" t="s">
        <v>28</v>
      </c>
      <c r="E28" s="60" t="s">
        <v>16</v>
      </c>
      <c r="F28" s="61">
        <v>0</v>
      </c>
      <c r="H28"/>
      <c r="I28"/>
      <c r="J28"/>
      <c r="K28"/>
      <c r="L28"/>
      <c r="N28"/>
    </row>
    <row r="29" spans="1:14" x14ac:dyDescent="0.3">
      <c r="A29" s="107">
        <v>2019</v>
      </c>
      <c r="B29" s="107">
        <v>3</v>
      </c>
      <c r="C29" s="107" t="s">
        <v>12</v>
      </c>
      <c r="D29" s="60" t="s">
        <v>28</v>
      </c>
      <c r="E29" s="60" t="s">
        <v>13</v>
      </c>
      <c r="F29" s="61">
        <v>17062</v>
      </c>
      <c r="H29"/>
      <c r="I29"/>
      <c r="J29"/>
      <c r="K29"/>
      <c r="L29"/>
      <c r="N29"/>
    </row>
    <row r="30" spans="1:14" x14ac:dyDescent="0.3">
      <c r="A30" s="107">
        <v>2019</v>
      </c>
      <c r="B30" s="107">
        <v>4</v>
      </c>
      <c r="C30" s="107" t="s">
        <v>11</v>
      </c>
      <c r="D30" s="60" t="s">
        <v>10</v>
      </c>
      <c r="E30" s="60" t="s">
        <v>10</v>
      </c>
      <c r="F30" s="61">
        <v>964</v>
      </c>
      <c r="H30"/>
      <c r="I30"/>
      <c r="J30"/>
      <c r="K30"/>
      <c r="L30"/>
      <c r="N30"/>
    </row>
    <row r="31" spans="1:14" x14ac:dyDescent="0.3">
      <c r="A31" s="107">
        <v>2019</v>
      </c>
      <c r="B31" s="107">
        <v>4</v>
      </c>
      <c r="C31" s="107" t="s">
        <v>11</v>
      </c>
      <c r="D31" s="60" t="s">
        <v>6</v>
      </c>
      <c r="E31" s="60" t="s">
        <v>1</v>
      </c>
      <c r="F31" s="61">
        <v>1346</v>
      </c>
      <c r="H31"/>
      <c r="I31"/>
      <c r="J31"/>
      <c r="K31"/>
      <c r="L31"/>
      <c r="N31"/>
    </row>
    <row r="32" spans="1:14" x14ac:dyDescent="0.3">
      <c r="A32" s="107">
        <v>2019</v>
      </c>
      <c r="B32" s="107">
        <v>4</v>
      </c>
      <c r="C32" s="107" t="s">
        <v>11</v>
      </c>
      <c r="D32" s="60" t="s">
        <v>6</v>
      </c>
      <c r="E32" s="60" t="s">
        <v>7</v>
      </c>
      <c r="F32" s="61">
        <v>0</v>
      </c>
      <c r="H32"/>
      <c r="I32"/>
      <c r="J32"/>
      <c r="K32"/>
      <c r="L32"/>
      <c r="N32"/>
    </row>
    <row r="33" spans="1:14" x14ac:dyDescent="0.3">
      <c r="A33" s="107">
        <v>2019</v>
      </c>
      <c r="B33" s="107">
        <v>4</v>
      </c>
      <c r="C33" s="107" t="s">
        <v>11</v>
      </c>
      <c r="D33" s="60" t="s">
        <v>6</v>
      </c>
      <c r="E33" s="60" t="s">
        <v>2</v>
      </c>
      <c r="F33" s="61">
        <v>172</v>
      </c>
      <c r="H33"/>
      <c r="I33"/>
      <c r="J33"/>
      <c r="K33"/>
      <c r="L33"/>
      <c r="N33"/>
    </row>
    <row r="34" spans="1:14" x14ac:dyDescent="0.3">
      <c r="A34" s="107">
        <v>2019</v>
      </c>
      <c r="B34" s="107">
        <v>4</v>
      </c>
      <c r="C34" s="107" t="s">
        <v>11</v>
      </c>
      <c r="D34" s="60" t="s">
        <v>14</v>
      </c>
      <c r="E34" s="60" t="s">
        <v>8</v>
      </c>
      <c r="F34" s="61">
        <v>1</v>
      </c>
      <c r="H34"/>
      <c r="I34"/>
      <c r="J34"/>
      <c r="K34"/>
      <c r="L34"/>
      <c r="N34"/>
    </row>
    <row r="35" spans="1:14" x14ac:dyDescent="0.3">
      <c r="A35" s="107">
        <v>2019</v>
      </c>
      <c r="B35" s="107">
        <v>4</v>
      </c>
      <c r="C35" s="107" t="s">
        <v>11</v>
      </c>
      <c r="D35" s="60" t="s">
        <v>9</v>
      </c>
      <c r="E35" s="60" t="s">
        <v>9</v>
      </c>
      <c r="F35" s="61">
        <v>0</v>
      </c>
      <c r="H35"/>
      <c r="I35"/>
      <c r="J35"/>
      <c r="K35"/>
      <c r="L35"/>
      <c r="N35"/>
    </row>
    <row r="36" spans="1:14" x14ac:dyDescent="0.3">
      <c r="A36" s="107">
        <v>2019</v>
      </c>
      <c r="B36" s="107">
        <v>4</v>
      </c>
      <c r="C36" s="107" t="s">
        <v>12</v>
      </c>
      <c r="D36" s="60" t="s">
        <v>28</v>
      </c>
      <c r="E36" s="60" t="s">
        <v>15</v>
      </c>
      <c r="F36" s="61">
        <v>9890</v>
      </c>
      <c r="H36"/>
      <c r="I36"/>
      <c r="J36"/>
      <c r="K36"/>
      <c r="L36"/>
      <c r="N36"/>
    </row>
    <row r="37" spans="1:14" x14ac:dyDescent="0.3">
      <c r="A37" s="107">
        <v>2019</v>
      </c>
      <c r="B37" s="107">
        <v>4</v>
      </c>
      <c r="C37" s="107" t="s">
        <v>12</v>
      </c>
      <c r="D37" s="60" t="s">
        <v>28</v>
      </c>
      <c r="E37" s="60" t="s">
        <v>16</v>
      </c>
      <c r="F37" s="61">
        <v>0</v>
      </c>
      <c r="H37"/>
      <c r="I37"/>
      <c r="J37"/>
      <c r="K37"/>
      <c r="L37"/>
      <c r="N37"/>
    </row>
    <row r="38" spans="1:14" x14ac:dyDescent="0.3">
      <c r="A38" s="107">
        <v>2019</v>
      </c>
      <c r="B38" s="107">
        <v>4</v>
      </c>
      <c r="C38" s="107" t="s">
        <v>12</v>
      </c>
      <c r="D38" s="60" t="s">
        <v>28</v>
      </c>
      <c r="E38" s="60" t="s">
        <v>13</v>
      </c>
      <c r="F38" s="61">
        <v>14947</v>
      </c>
      <c r="H38"/>
      <c r="I38"/>
      <c r="J38"/>
      <c r="K38"/>
      <c r="L38"/>
      <c r="N38"/>
    </row>
    <row r="39" spans="1:14" x14ac:dyDescent="0.3">
      <c r="A39" s="62">
        <v>2019</v>
      </c>
      <c r="B39" s="62">
        <v>5</v>
      </c>
      <c r="C39" s="62" t="s">
        <v>11</v>
      </c>
      <c r="D39" t="s">
        <v>10</v>
      </c>
      <c r="E39" t="s">
        <v>10</v>
      </c>
      <c r="F39" s="57">
        <v>2330</v>
      </c>
      <c r="H39"/>
      <c r="I39"/>
      <c r="J39"/>
      <c r="K39"/>
      <c r="L39"/>
      <c r="N39"/>
    </row>
    <row r="40" spans="1:14" x14ac:dyDescent="0.3">
      <c r="A40" s="62">
        <v>2019</v>
      </c>
      <c r="B40" s="62">
        <v>5</v>
      </c>
      <c r="C40" s="62" t="s">
        <v>11</v>
      </c>
      <c r="D40" t="s">
        <v>6</v>
      </c>
      <c r="E40" t="s">
        <v>1</v>
      </c>
      <c r="F40" s="57">
        <v>1976</v>
      </c>
      <c r="H40"/>
      <c r="I40"/>
      <c r="J40"/>
      <c r="K40"/>
      <c r="L40"/>
      <c r="N40"/>
    </row>
    <row r="41" spans="1:14" x14ac:dyDescent="0.3">
      <c r="A41" s="62">
        <v>2019</v>
      </c>
      <c r="B41" s="62">
        <v>5</v>
      </c>
      <c r="C41" s="62" t="s">
        <v>11</v>
      </c>
      <c r="D41" t="s">
        <v>6</v>
      </c>
      <c r="E41" t="s">
        <v>7</v>
      </c>
      <c r="F41" s="57">
        <v>0</v>
      </c>
      <c r="H41"/>
      <c r="I41"/>
      <c r="J41"/>
      <c r="K41"/>
      <c r="L41"/>
      <c r="N41"/>
    </row>
    <row r="42" spans="1:14" x14ac:dyDescent="0.3">
      <c r="A42" s="62">
        <v>2019</v>
      </c>
      <c r="B42" s="62">
        <v>5</v>
      </c>
      <c r="C42" s="62" t="s">
        <v>11</v>
      </c>
      <c r="D42" t="s">
        <v>6</v>
      </c>
      <c r="E42" t="s">
        <v>2</v>
      </c>
      <c r="F42" s="57">
        <v>144</v>
      </c>
      <c r="H42"/>
      <c r="I42"/>
      <c r="J42"/>
      <c r="K42"/>
      <c r="L42"/>
      <c r="N42"/>
    </row>
    <row r="43" spans="1:14" x14ac:dyDescent="0.3">
      <c r="A43" s="62">
        <v>2019</v>
      </c>
      <c r="B43" s="62">
        <v>5</v>
      </c>
      <c r="C43" s="62" t="s">
        <v>11</v>
      </c>
      <c r="D43" t="s">
        <v>14</v>
      </c>
      <c r="E43" t="s">
        <v>8</v>
      </c>
      <c r="F43" s="57">
        <v>0</v>
      </c>
      <c r="H43"/>
      <c r="I43"/>
      <c r="J43"/>
      <c r="K43"/>
      <c r="L43"/>
      <c r="N43"/>
    </row>
    <row r="44" spans="1:14" x14ac:dyDescent="0.3">
      <c r="A44" s="62">
        <v>2019</v>
      </c>
      <c r="B44" s="62">
        <v>5</v>
      </c>
      <c r="C44" s="62" t="s">
        <v>11</v>
      </c>
      <c r="D44" t="s">
        <v>9</v>
      </c>
      <c r="E44" t="s">
        <v>9</v>
      </c>
      <c r="F44" s="57">
        <v>0</v>
      </c>
      <c r="H44"/>
      <c r="I44"/>
      <c r="J44"/>
      <c r="K44"/>
      <c r="L44"/>
      <c r="N44"/>
    </row>
    <row r="45" spans="1:14" x14ac:dyDescent="0.3">
      <c r="A45" s="62">
        <v>2019</v>
      </c>
      <c r="B45" s="62">
        <v>5</v>
      </c>
      <c r="C45" s="62" t="s">
        <v>12</v>
      </c>
      <c r="D45" t="s">
        <v>28</v>
      </c>
      <c r="E45" t="s">
        <v>15</v>
      </c>
      <c r="F45" s="57">
        <v>11413</v>
      </c>
      <c r="H45"/>
      <c r="I45"/>
      <c r="J45"/>
      <c r="K45"/>
      <c r="L45"/>
      <c r="N45"/>
    </row>
    <row r="46" spans="1:14" x14ac:dyDescent="0.3">
      <c r="A46" s="62">
        <v>2019</v>
      </c>
      <c r="B46" s="62">
        <v>5</v>
      </c>
      <c r="C46" s="62" t="s">
        <v>12</v>
      </c>
      <c r="D46" t="s">
        <v>28</v>
      </c>
      <c r="E46" t="s">
        <v>16</v>
      </c>
      <c r="F46" s="57">
        <v>0</v>
      </c>
      <c r="H46"/>
      <c r="I46"/>
      <c r="J46"/>
      <c r="K46"/>
      <c r="L46"/>
      <c r="N46"/>
    </row>
    <row r="47" spans="1:14" x14ac:dyDescent="0.3">
      <c r="A47" s="62">
        <v>2019</v>
      </c>
      <c r="B47" s="62">
        <v>5</v>
      </c>
      <c r="C47" s="62" t="s">
        <v>12</v>
      </c>
      <c r="D47" t="s">
        <v>28</v>
      </c>
      <c r="E47" t="s">
        <v>13</v>
      </c>
      <c r="F47" s="57">
        <v>18390</v>
      </c>
      <c r="H47"/>
      <c r="I47"/>
      <c r="J47"/>
      <c r="K47"/>
      <c r="L47"/>
      <c r="N47"/>
    </row>
    <row r="48" spans="1:14" x14ac:dyDescent="0.3">
      <c r="A48" s="62">
        <v>2019</v>
      </c>
      <c r="B48" s="62">
        <v>6</v>
      </c>
      <c r="C48" s="62" t="s">
        <v>11</v>
      </c>
      <c r="D48" t="s">
        <v>10</v>
      </c>
      <c r="E48" t="s">
        <v>10</v>
      </c>
      <c r="F48" s="57">
        <v>2089</v>
      </c>
      <c r="H48"/>
      <c r="I48"/>
      <c r="J48"/>
      <c r="K48"/>
      <c r="L48"/>
      <c r="N48"/>
    </row>
    <row r="49" spans="1:14" x14ac:dyDescent="0.3">
      <c r="A49" s="62">
        <v>2019</v>
      </c>
      <c r="B49" s="62">
        <v>6</v>
      </c>
      <c r="C49" s="62" t="s">
        <v>11</v>
      </c>
      <c r="D49" t="s">
        <v>6</v>
      </c>
      <c r="E49" t="s">
        <v>1</v>
      </c>
      <c r="F49" s="57">
        <v>1679</v>
      </c>
      <c r="H49"/>
      <c r="I49"/>
      <c r="J49"/>
      <c r="K49"/>
      <c r="L49"/>
      <c r="N49"/>
    </row>
    <row r="50" spans="1:14" x14ac:dyDescent="0.3">
      <c r="A50" s="62">
        <v>2019</v>
      </c>
      <c r="B50" s="62">
        <v>6</v>
      </c>
      <c r="C50" s="62" t="s">
        <v>11</v>
      </c>
      <c r="D50" t="s">
        <v>6</v>
      </c>
      <c r="E50" t="s">
        <v>7</v>
      </c>
      <c r="F50" s="57">
        <v>2</v>
      </c>
      <c r="H50"/>
      <c r="I50"/>
      <c r="J50"/>
      <c r="K50"/>
      <c r="L50"/>
      <c r="N50"/>
    </row>
    <row r="51" spans="1:14" x14ac:dyDescent="0.3">
      <c r="A51" s="62">
        <v>2019</v>
      </c>
      <c r="B51" s="62">
        <v>6</v>
      </c>
      <c r="C51" s="62" t="s">
        <v>11</v>
      </c>
      <c r="D51" t="s">
        <v>6</v>
      </c>
      <c r="E51" t="s">
        <v>2</v>
      </c>
      <c r="F51" s="57">
        <v>174</v>
      </c>
      <c r="H51"/>
      <c r="I51"/>
      <c r="J51"/>
      <c r="K51"/>
      <c r="L51"/>
      <c r="N51"/>
    </row>
    <row r="52" spans="1:14" x14ac:dyDescent="0.3">
      <c r="A52" s="62">
        <v>2019</v>
      </c>
      <c r="B52" s="62">
        <v>6</v>
      </c>
      <c r="C52" s="62" t="s">
        <v>11</v>
      </c>
      <c r="D52" t="s">
        <v>14</v>
      </c>
      <c r="E52" t="s">
        <v>8</v>
      </c>
      <c r="F52" s="57">
        <v>3</v>
      </c>
      <c r="H52"/>
      <c r="I52"/>
      <c r="J52"/>
      <c r="K52"/>
      <c r="L52"/>
      <c r="N52"/>
    </row>
    <row r="53" spans="1:14" x14ac:dyDescent="0.3">
      <c r="A53" s="107">
        <v>2019</v>
      </c>
      <c r="B53" s="107">
        <v>6</v>
      </c>
      <c r="C53" s="107" t="s">
        <v>11</v>
      </c>
      <c r="D53" s="60" t="s">
        <v>9</v>
      </c>
      <c r="E53" s="60" t="s">
        <v>9</v>
      </c>
      <c r="F53" s="61">
        <v>3</v>
      </c>
      <c r="H53"/>
      <c r="I53"/>
      <c r="J53"/>
      <c r="K53"/>
      <c r="L53"/>
      <c r="N53"/>
    </row>
    <row r="54" spans="1:14" x14ac:dyDescent="0.3">
      <c r="A54" s="107">
        <v>2019</v>
      </c>
      <c r="B54" s="107">
        <v>6</v>
      </c>
      <c r="C54" s="107" t="s">
        <v>12</v>
      </c>
      <c r="D54" s="60" t="s">
        <v>28</v>
      </c>
      <c r="E54" s="60" t="s">
        <v>15</v>
      </c>
      <c r="F54" s="61">
        <v>11715</v>
      </c>
      <c r="H54"/>
      <c r="I54"/>
      <c r="J54"/>
      <c r="K54"/>
      <c r="L54"/>
      <c r="N54"/>
    </row>
    <row r="55" spans="1:14" x14ac:dyDescent="0.3">
      <c r="A55" s="107">
        <v>2019</v>
      </c>
      <c r="B55" s="107">
        <v>6</v>
      </c>
      <c r="C55" s="107" t="s">
        <v>12</v>
      </c>
      <c r="D55" s="60" t="s">
        <v>28</v>
      </c>
      <c r="E55" s="60" t="s">
        <v>16</v>
      </c>
      <c r="F55" s="61">
        <v>0</v>
      </c>
      <c r="H55"/>
      <c r="I55"/>
      <c r="J55"/>
      <c r="K55"/>
      <c r="L55"/>
      <c r="N55"/>
    </row>
    <row r="56" spans="1:14" x14ac:dyDescent="0.3">
      <c r="A56" s="107">
        <v>2019</v>
      </c>
      <c r="B56" s="107">
        <v>6</v>
      </c>
      <c r="C56" s="107" t="s">
        <v>12</v>
      </c>
      <c r="D56" s="60" t="s">
        <v>28</v>
      </c>
      <c r="E56" s="60" t="s">
        <v>13</v>
      </c>
      <c r="F56" s="61">
        <v>20260</v>
      </c>
      <c r="H56"/>
      <c r="I56"/>
      <c r="J56"/>
      <c r="K56"/>
      <c r="L56"/>
      <c r="N56"/>
    </row>
    <row r="57" spans="1:14" x14ac:dyDescent="0.3">
      <c r="A57" s="107">
        <v>2019</v>
      </c>
      <c r="B57" s="107">
        <v>7</v>
      </c>
      <c r="C57" s="107" t="s">
        <v>11</v>
      </c>
      <c r="D57" s="60" t="s">
        <v>10</v>
      </c>
      <c r="E57" s="60" t="s">
        <v>10</v>
      </c>
      <c r="F57" s="61">
        <v>1531</v>
      </c>
      <c r="H57"/>
      <c r="I57"/>
      <c r="J57"/>
      <c r="K57"/>
      <c r="L57"/>
      <c r="N57"/>
    </row>
    <row r="58" spans="1:14" x14ac:dyDescent="0.3">
      <c r="A58" s="107">
        <v>2019</v>
      </c>
      <c r="B58" s="107">
        <v>7</v>
      </c>
      <c r="C58" s="107" t="s">
        <v>11</v>
      </c>
      <c r="D58" s="60" t="s">
        <v>6</v>
      </c>
      <c r="E58" s="60" t="s">
        <v>1</v>
      </c>
      <c r="F58" s="61">
        <v>1175</v>
      </c>
      <c r="H58"/>
      <c r="I58"/>
      <c r="J58"/>
      <c r="K58"/>
      <c r="L58"/>
      <c r="N58"/>
    </row>
    <row r="59" spans="1:14" x14ac:dyDescent="0.3">
      <c r="A59" s="107">
        <v>2019</v>
      </c>
      <c r="B59" s="107">
        <v>7</v>
      </c>
      <c r="C59" s="107" t="s">
        <v>11</v>
      </c>
      <c r="D59" s="60" t="s">
        <v>6</v>
      </c>
      <c r="E59" s="60" t="s">
        <v>7</v>
      </c>
      <c r="F59" s="61">
        <v>0</v>
      </c>
      <c r="H59"/>
      <c r="I59"/>
      <c r="J59"/>
      <c r="K59"/>
      <c r="L59"/>
      <c r="N59"/>
    </row>
    <row r="60" spans="1:14" x14ac:dyDescent="0.3">
      <c r="A60" s="107">
        <v>2019</v>
      </c>
      <c r="B60" s="107">
        <v>7</v>
      </c>
      <c r="C60" s="107" t="s">
        <v>11</v>
      </c>
      <c r="D60" s="60" t="s">
        <v>6</v>
      </c>
      <c r="E60" s="60" t="s">
        <v>2</v>
      </c>
      <c r="F60" s="61">
        <v>194</v>
      </c>
      <c r="H60"/>
      <c r="I60"/>
      <c r="J60"/>
      <c r="K60"/>
      <c r="L60"/>
      <c r="N60"/>
    </row>
    <row r="61" spans="1:14" x14ac:dyDescent="0.3">
      <c r="A61" s="107">
        <v>2019</v>
      </c>
      <c r="B61" s="107">
        <v>7</v>
      </c>
      <c r="C61" s="107" t="s">
        <v>11</v>
      </c>
      <c r="D61" s="60" t="s">
        <v>14</v>
      </c>
      <c r="E61" s="60" t="s">
        <v>8</v>
      </c>
      <c r="F61" s="61">
        <v>1</v>
      </c>
      <c r="H61"/>
      <c r="I61"/>
      <c r="J61"/>
      <c r="K61"/>
      <c r="L61"/>
      <c r="N61"/>
    </row>
    <row r="62" spans="1:14" x14ac:dyDescent="0.3">
      <c r="A62" s="107">
        <v>2019</v>
      </c>
      <c r="B62" s="107">
        <v>7</v>
      </c>
      <c r="C62" s="107" t="s">
        <v>11</v>
      </c>
      <c r="D62" s="60" t="s">
        <v>9</v>
      </c>
      <c r="E62" s="60" t="s">
        <v>9</v>
      </c>
      <c r="F62" s="61">
        <v>0</v>
      </c>
      <c r="H62"/>
      <c r="I62"/>
      <c r="J62"/>
      <c r="K62"/>
      <c r="L62"/>
      <c r="N62"/>
    </row>
    <row r="63" spans="1:14" x14ac:dyDescent="0.3">
      <c r="A63" s="107">
        <v>2019</v>
      </c>
      <c r="B63" s="107">
        <v>7</v>
      </c>
      <c r="C63" s="107" t="s">
        <v>12</v>
      </c>
      <c r="D63" s="60" t="s">
        <v>28</v>
      </c>
      <c r="E63" s="60" t="s">
        <v>15</v>
      </c>
      <c r="F63" s="61">
        <v>10440</v>
      </c>
      <c r="H63"/>
      <c r="I63"/>
      <c r="J63"/>
      <c r="K63"/>
      <c r="L63"/>
      <c r="N63"/>
    </row>
    <row r="64" spans="1:14" x14ac:dyDescent="0.3">
      <c r="A64" s="107">
        <v>2019</v>
      </c>
      <c r="B64" s="107">
        <v>7</v>
      </c>
      <c r="C64" s="107" t="s">
        <v>12</v>
      </c>
      <c r="D64" s="60" t="s">
        <v>28</v>
      </c>
      <c r="E64" s="60" t="s">
        <v>16</v>
      </c>
      <c r="F64" s="61">
        <v>0</v>
      </c>
      <c r="H64"/>
      <c r="I64"/>
      <c r="J64"/>
      <c r="K64"/>
      <c r="L64"/>
      <c r="N64"/>
    </row>
    <row r="65" spans="1:14" x14ac:dyDescent="0.3">
      <c r="A65" s="107">
        <v>2019</v>
      </c>
      <c r="B65" s="107">
        <v>7</v>
      </c>
      <c r="C65" s="107" t="s">
        <v>12</v>
      </c>
      <c r="D65" s="60" t="s">
        <v>28</v>
      </c>
      <c r="E65" s="60" t="s">
        <v>13</v>
      </c>
      <c r="F65" s="61">
        <v>16760</v>
      </c>
      <c r="H65"/>
      <c r="I65"/>
      <c r="J65"/>
      <c r="K65"/>
      <c r="L65"/>
      <c r="N65"/>
    </row>
    <row r="66" spans="1:14" x14ac:dyDescent="0.3">
      <c r="A66" s="107">
        <v>2019</v>
      </c>
      <c r="B66" s="107">
        <v>8</v>
      </c>
      <c r="C66" s="107" t="s">
        <v>11</v>
      </c>
      <c r="D66" s="60" t="s">
        <v>10</v>
      </c>
      <c r="E66" s="60" t="s">
        <v>10</v>
      </c>
      <c r="F66" s="61">
        <v>1570</v>
      </c>
      <c r="H66"/>
      <c r="I66"/>
      <c r="J66"/>
      <c r="K66"/>
      <c r="L66"/>
      <c r="N66"/>
    </row>
    <row r="67" spans="1:14" x14ac:dyDescent="0.3">
      <c r="A67" s="107">
        <v>2019</v>
      </c>
      <c r="B67" s="107">
        <v>8</v>
      </c>
      <c r="C67" s="107" t="s">
        <v>11</v>
      </c>
      <c r="D67" s="60" t="s">
        <v>6</v>
      </c>
      <c r="E67" s="60" t="s">
        <v>1</v>
      </c>
      <c r="F67" s="61">
        <v>1174</v>
      </c>
      <c r="H67"/>
      <c r="I67"/>
      <c r="J67"/>
      <c r="K67"/>
      <c r="L67"/>
      <c r="N67"/>
    </row>
    <row r="68" spans="1:14" x14ac:dyDescent="0.3">
      <c r="A68" s="107">
        <v>2019</v>
      </c>
      <c r="B68" s="107">
        <v>8</v>
      </c>
      <c r="C68" s="107" t="s">
        <v>11</v>
      </c>
      <c r="D68" s="60" t="s">
        <v>6</v>
      </c>
      <c r="E68" s="60" t="s">
        <v>7</v>
      </c>
      <c r="F68" s="61">
        <v>0</v>
      </c>
      <c r="H68"/>
      <c r="I68"/>
      <c r="J68"/>
      <c r="K68"/>
      <c r="L68"/>
      <c r="N68"/>
    </row>
    <row r="69" spans="1:14" x14ac:dyDescent="0.3">
      <c r="A69" s="107">
        <v>2019</v>
      </c>
      <c r="B69" s="107">
        <v>8</v>
      </c>
      <c r="C69" s="107" t="s">
        <v>11</v>
      </c>
      <c r="D69" s="60" t="s">
        <v>6</v>
      </c>
      <c r="E69" s="60" t="s">
        <v>2</v>
      </c>
      <c r="F69" s="61">
        <v>164</v>
      </c>
      <c r="H69"/>
      <c r="I69"/>
      <c r="J69"/>
      <c r="K69"/>
      <c r="L69"/>
      <c r="N69"/>
    </row>
    <row r="70" spans="1:14" x14ac:dyDescent="0.3">
      <c r="A70" s="107">
        <v>2019</v>
      </c>
      <c r="B70" s="107">
        <v>8</v>
      </c>
      <c r="C70" s="107" t="s">
        <v>11</v>
      </c>
      <c r="D70" s="60" t="s">
        <v>14</v>
      </c>
      <c r="E70" s="60" t="s">
        <v>8</v>
      </c>
      <c r="F70" s="61">
        <v>0</v>
      </c>
      <c r="H70"/>
      <c r="I70"/>
      <c r="J70"/>
      <c r="K70"/>
      <c r="L70"/>
      <c r="N70"/>
    </row>
    <row r="71" spans="1:14" x14ac:dyDescent="0.3">
      <c r="A71" s="107">
        <v>2019</v>
      </c>
      <c r="B71" s="107">
        <v>8</v>
      </c>
      <c r="C71" s="107" t="s">
        <v>11</v>
      </c>
      <c r="D71" s="60" t="s">
        <v>9</v>
      </c>
      <c r="E71" s="60" t="s">
        <v>9</v>
      </c>
      <c r="F71" s="61">
        <v>0</v>
      </c>
      <c r="H71"/>
      <c r="I71"/>
      <c r="J71"/>
      <c r="K71"/>
      <c r="L71"/>
      <c r="N71"/>
    </row>
    <row r="72" spans="1:14" x14ac:dyDescent="0.3">
      <c r="A72" s="107">
        <v>2019</v>
      </c>
      <c r="B72" s="107">
        <v>8</v>
      </c>
      <c r="C72" s="107" t="s">
        <v>12</v>
      </c>
      <c r="D72" s="60" t="s">
        <v>28</v>
      </c>
      <c r="E72" s="60" t="s">
        <v>15</v>
      </c>
      <c r="F72" s="61">
        <v>7984</v>
      </c>
      <c r="H72"/>
      <c r="I72"/>
      <c r="J72"/>
      <c r="K72"/>
      <c r="L72"/>
      <c r="N72"/>
    </row>
    <row r="73" spans="1:14" x14ac:dyDescent="0.3">
      <c r="A73" s="107">
        <v>2019</v>
      </c>
      <c r="B73" s="107">
        <v>8</v>
      </c>
      <c r="C73" s="107" t="s">
        <v>12</v>
      </c>
      <c r="D73" s="60" t="s">
        <v>28</v>
      </c>
      <c r="E73" s="60" t="s">
        <v>16</v>
      </c>
      <c r="F73" s="61">
        <v>0</v>
      </c>
      <c r="H73"/>
      <c r="I73"/>
      <c r="J73"/>
      <c r="K73"/>
      <c r="L73"/>
      <c r="N73"/>
    </row>
    <row r="74" spans="1:14" x14ac:dyDescent="0.3">
      <c r="A74" s="107">
        <v>2019</v>
      </c>
      <c r="B74" s="107">
        <v>8</v>
      </c>
      <c r="C74" s="107" t="s">
        <v>12</v>
      </c>
      <c r="D74" s="60" t="s">
        <v>28</v>
      </c>
      <c r="E74" s="60" t="s">
        <v>13</v>
      </c>
      <c r="F74" s="61">
        <v>14139</v>
      </c>
      <c r="H74"/>
      <c r="I74"/>
      <c r="J74"/>
      <c r="K74"/>
      <c r="L74"/>
      <c r="N74"/>
    </row>
    <row r="75" spans="1:14" x14ac:dyDescent="0.3">
      <c r="A75" s="107">
        <v>2019</v>
      </c>
      <c r="B75" s="107">
        <v>9</v>
      </c>
      <c r="C75" s="107" t="s">
        <v>11</v>
      </c>
      <c r="D75" s="60" t="s">
        <v>10</v>
      </c>
      <c r="E75" s="60" t="s">
        <v>10</v>
      </c>
      <c r="F75" s="61">
        <v>1313</v>
      </c>
      <c r="H75"/>
      <c r="I75"/>
      <c r="J75"/>
      <c r="K75"/>
      <c r="L75"/>
      <c r="N75"/>
    </row>
    <row r="76" spans="1:14" x14ac:dyDescent="0.3">
      <c r="A76" s="107">
        <v>2019</v>
      </c>
      <c r="B76" s="107">
        <v>9</v>
      </c>
      <c r="C76" s="107" t="s">
        <v>11</v>
      </c>
      <c r="D76" s="60" t="s">
        <v>6</v>
      </c>
      <c r="E76" s="60" t="s">
        <v>1</v>
      </c>
      <c r="F76" s="61">
        <v>2432</v>
      </c>
      <c r="H76"/>
      <c r="I76"/>
      <c r="J76"/>
      <c r="K76"/>
      <c r="L76"/>
      <c r="N76"/>
    </row>
    <row r="77" spans="1:14" x14ac:dyDescent="0.3">
      <c r="A77" s="107">
        <v>2019</v>
      </c>
      <c r="B77" s="107">
        <v>9</v>
      </c>
      <c r="C77" s="107" t="s">
        <v>11</v>
      </c>
      <c r="D77" s="60" t="s">
        <v>6</v>
      </c>
      <c r="E77" s="60" t="s">
        <v>7</v>
      </c>
      <c r="F77" s="61">
        <v>1</v>
      </c>
      <c r="H77"/>
      <c r="I77"/>
      <c r="J77"/>
      <c r="K77"/>
      <c r="L77"/>
      <c r="N77"/>
    </row>
    <row r="78" spans="1:14" x14ac:dyDescent="0.3">
      <c r="A78" s="107">
        <v>2019</v>
      </c>
      <c r="B78" s="107">
        <v>9</v>
      </c>
      <c r="C78" s="107" t="s">
        <v>11</v>
      </c>
      <c r="D78" s="60" t="s">
        <v>6</v>
      </c>
      <c r="E78" s="60" t="s">
        <v>2</v>
      </c>
      <c r="F78" s="61">
        <v>231</v>
      </c>
      <c r="H78"/>
      <c r="I78"/>
      <c r="J78"/>
      <c r="K78"/>
      <c r="L78"/>
      <c r="N78"/>
    </row>
    <row r="79" spans="1:14" x14ac:dyDescent="0.3">
      <c r="A79" s="107">
        <v>2019</v>
      </c>
      <c r="B79" s="107">
        <v>9</v>
      </c>
      <c r="C79" s="107" t="s">
        <v>11</v>
      </c>
      <c r="D79" s="60" t="s">
        <v>14</v>
      </c>
      <c r="E79" s="60" t="s">
        <v>8</v>
      </c>
      <c r="F79" s="61">
        <v>1</v>
      </c>
      <c r="H79"/>
      <c r="I79"/>
      <c r="J79"/>
      <c r="K79"/>
      <c r="L79"/>
      <c r="N79"/>
    </row>
    <row r="80" spans="1:14" x14ac:dyDescent="0.3">
      <c r="A80" s="107">
        <v>2019</v>
      </c>
      <c r="B80" s="107">
        <v>9</v>
      </c>
      <c r="C80" s="107" t="s">
        <v>11</v>
      </c>
      <c r="D80" s="60" t="s">
        <v>9</v>
      </c>
      <c r="E80" s="60" t="s">
        <v>9</v>
      </c>
      <c r="F80" s="61">
        <v>0</v>
      </c>
      <c r="H80"/>
      <c r="I80"/>
      <c r="J80"/>
      <c r="K80"/>
      <c r="L80"/>
      <c r="N80"/>
    </row>
    <row r="81" spans="1:14" x14ac:dyDescent="0.3">
      <c r="A81" s="107">
        <v>2019</v>
      </c>
      <c r="B81" s="107">
        <v>9</v>
      </c>
      <c r="C81" s="107" t="s">
        <v>12</v>
      </c>
      <c r="D81" s="60" t="s">
        <v>28</v>
      </c>
      <c r="E81" s="60" t="s">
        <v>15</v>
      </c>
      <c r="F81" s="61">
        <v>5965</v>
      </c>
      <c r="H81"/>
      <c r="I81"/>
      <c r="J81"/>
      <c r="K81"/>
      <c r="L81"/>
      <c r="N81"/>
    </row>
    <row r="82" spans="1:14" x14ac:dyDescent="0.3">
      <c r="A82" s="107">
        <v>2019</v>
      </c>
      <c r="B82" s="107">
        <v>9</v>
      </c>
      <c r="C82" s="107" t="s">
        <v>12</v>
      </c>
      <c r="D82" s="60" t="s">
        <v>28</v>
      </c>
      <c r="E82" s="60" t="s">
        <v>16</v>
      </c>
      <c r="F82" s="61">
        <v>13880</v>
      </c>
      <c r="H82"/>
      <c r="I82"/>
      <c r="J82"/>
      <c r="K82"/>
      <c r="L82"/>
      <c r="N82"/>
    </row>
    <row r="83" spans="1:14" x14ac:dyDescent="0.3">
      <c r="A83" s="107">
        <v>2019</v>
      </c>
      <c r="B83" s="107">
        <v>9</v>
      </c>
      <c r="C83" s="107" t="s">
        <v>12</v>
      </c>
      <c r="D83" s="60" t="s">
        <v>28</v>
      </c>
      <c r="E83" s="60" t="s">
        <v>13</v>
      </c>
      <c r="F83" s="61">
        <v>12065</v>
      </c>
      <c r="H83"/>
      <c r="I83"/>
      <c r="J83"/>
      <c r="K83"/>
      <c r="L83"/>
      <c r="N83"/>
    </row>
    <row r="84" spans="1:14" x14ac:dyDescent="0.3">
      <c r="A84" s="112">
        <v>2019</v>
      </c>
      <c r="B84" s="112">
        <v>10</v>
      </c>
      <c r="C84" s="107" t="s">
        <v>11</v>
      </c>
      <c r="D84" s="60" t="s">
        <v>10</v>
      </c>
      <c r="E84" s="60" t="s">
        <v>10</v>
      </c>
      <c r="F84" s="113">
        <v>1403</v>
      </c>
      <c r="G84" s="114"/>
      <c r="H84"/>
      <c r="I84"/>
      <c r="J84"/>
      <c r="K84"/>
      <c r="L84"/>
      <c r="N84"/>
    </row>
    <row r="85" spans="1:14" x14ac:dyDescent="0.3">
      <c r="A85" s="112">
        <v>2019</v>
      </c>
      <c r="B85" s="112">
        <v>10</v>
      </c>
      <c r="C85" s="107" t="s">
        <v>11</v>
      </c>
      <c r="D85" s="60" t="s">
        <v>6</v>
      </c>
      <c r="E85" s="60" t="s">
        <v>1</v>
      </c>
      <c r="F85" s="113">
        <v>2719</v>
      </c>
      <c r="H85"/>
      <c r="I85"/>
      <c r="J85"/>
      <c r="K85"/>
      <c r="L85"/>
      <c r="N85"/>
    </row>
    <row r="86" spans="1:14" x14ac:dyDescent="0.3">
      <c r="A86" s="112">
        <v>2019</v>
      </c>
      <c r="B86" s="112">
        <v>10</v>
      </c>
      <c r="C86" s="107" t="s">
        <v>11</v>
      </c>
      <c r="D86" s="60" t="s">
        <v>6</v>
      </c>
      <c r="E86" s="60" t="s">
        <v>7</v>
      </c>
      <c r="F86" s="113">
        <v>0</v>
      </c>
      <c r="H86"/>
      <c r="I86"/>
      <c r="J86"/>
      <c r="K86"/>
      <c r="L86"/>
      <c r="N86"/>
    </row>
    <row r="87" spans="1:14" x14ac:dyDescent="0.3">
      <c r="A87" s="112">
        <v>2019</v>
      </c>
      <c r="B87" s="112">
        <v>10</v>
      </c>
      <c r="C87" s="107" t="s">
        <v>11</v>
      </c>
      <c r="D87" s="60" t="s">
        <v>6</v>
      </c>
      <c r="E87" s="60" t="s">
        <v>2</v>
      </c>
      <c r="F87" s="113">
        <v>302</v>
      </c>
      <c r="H87"/>
      <c r="I87"/>
      <c r="J87"/>
      <c r="K87"/>
      <c r="L87"/>
      <c r="N87"/>
    </row>
    <row r="88" spans="1:14" x14ac:dyDescent="0.3">
      <c r="A88" s="112">
        <v>2019</v>
      </c>
      <c r="B88" s="112">
        <v>10</v>
      </c>
      <c r="C88" s="107" t="s">
        <v>11</v>
      </c>
      <c r="D88" s="60" t="s">
        <v>14</v>
      </c>
      <c r="E88" s="60" t="s">
        <v>8</v>
      </c>
      <c r="F88" s="113">
        <v>0</v>
      </c>
      <c r="H88"/>
      <c r="I88"/>
      <c r="J88"/>
      <c r="K88"/>
      <c r="L88"/>
      <c r="N88"/>
    </row>
    <row r="89" spans="1:14" x14ac:dyDescent="0.3">
      <c r="A89" s="112">
        <v>2019</v>
      </c>
      <c r="B89" s="112">
        <v>10</v>
      </c>
      <c r="C89" s="107" t="s">
        <v>11</v>
      </c>
      <c r="D89" s="60" t="s">
        <v>9</v>
      </c>
      <c r="E89" s="60" t="s">
        <v>9</v>
      </c>
      <c r="F89" s="113">
        <v>0</v>
      </c>
      <c r="H89"/>
      <c r="I89"/>
      <c r="J89"/>
      <c r="K89"/>
      <c r="L89"/>
      <c r="N89"/>
    </row>
    <row r="90" spans="1:14" x14ac:dyDescent="0.3">
      <c r="A90" s="112">
        <v>2019</v>
      </c>
      <c r="B90" s="112">
        <v>10</v>
      </c>
      <c r="C90" s="107" t="s">
        <v>12</v>
      </c>
      <c r="D90" s="60" t="s">
        <v>28</v>
      </c>
      <c r="E90" s="60" t="s">
        <v>15</v>
      </c>
      <c r="F90" s="113">
        <v>3910</v>
      </c>
      <c r="H90"/>
      <c r="I90"/>
      <c r="J90"/>
      <c r="K90"/>
      <c r="L90"/>
      <c r="N90"/>
    </row>
    <row r="91" spans="1:14" x14ac:dyDescent="0.3">
      <c r="A91" s="112">
        <v>2019</v>
      </c>
      <c r="B91" s="112">
        <v>10</v>
      </c>
      <c r="C91" s="107" t="s">
        <v>12</v>
      </c>
      <c r="D91" s="60" t="s">
        <v>28</v>
      </c>
      <c r="E91" s="60" t="s">
        <v>16</v>
      </c>
      <c r="F91" s="113">
        <v>14780</v>
      </c>
      <c r="H91"/>
      <c r="I91"/>
      <c r="J91"/>
      <c r="K91"/>
      <c r="L91"/>
      <c r="N91"/>
    </row>
    <row r="92" spans="1:14" x14ac:dyDescent="0.3">
      <c r="A92" s="112">
        <v>2019</v>
      </c>
      <c r="B92" s="112">
        <v>10</v>
      </c>
      <c r="C92" s="107" t="s">
        <v>12</v>
      </c>
      <c r="D92" s="60" t="s">
        <v>28</v>
      </c>
      <c r="E92" s="60" t="s">
        <v>13</v>
      </c>
      <c r="F92" s="113">
        <v>8730</v>
      </c>
      <c r="H92"/>
      <c r="I92"/>
      <c r="J92"/>
      <c r="K92"/>
      <c r="L92"/>
      <c r="N92"/>
    </row>
    <row r="93" spans="1:14" x14ac:dyDescent="0.3">
      <c r="A93" s="112">
        <v>2019</v>
      </c>
      <c r="B93" s="112">
        <v>11</v>
      </c>
      <c r="C93" s="107" t="s">
        <v>11</v>
      </c>
      <c r="D93" s="60" t="s">
        <v>10</v>
      </c>
      <c r="E93" s="60" t="s">
        <v>10</v>
      </c>
      <c r="F93" s="113">
        <v>1299</v>
      </c>
      <c r="H93"/>
      <c r="I93"/>
      <c r="J93"/>
      <c r="K93"/>
      <c r="L93"/>
      <c r="N93"/>
    </row>
    <row r="94" spans="1:14" x14ac:dyDescent="0.3">
      <c r="A94" s="112">
        <v>2019</v>
      </c>
      <c r="B94" s="112">
        <v>11</v>
      </c>
      <c r="C94" s="107" t="s">
        <v>11</v>
      </c>
      <c r="D94" s="60" t="s">
        <v>6</v>
      </c>
      <c r="E94" s="60" t="s">
        <v>1</v>
      </c>
      <c r="F94" s="113">
        <v>2693</v>
      </c>
      <c r="H94"/>
      <c r="I94"/>
      <c r="J94"/>
      <c r="K94"/>
      <c r="L94"/>
      <c r="N94"/>
    </row>
    <row r="95" spans="1:14" x14ac:dyDescent="0.3">
      <c r="A95" s="112">
        <v>2019</v>
      </c>
      <c r="B95" s="112">
        <v>11</v>
      </c>
      <c r="C95" s="107" t="s">
        <v>11</v>
      </c>
      <c r="D95" s="60" t="s">
        <v>6</v>
      </c>
      <c r="E95" s="60" t="s">
        <v>7</v>
      </c>
      <c r="F95" s="113">
        <v>0</v>
      </c>
      <c r="H95"/>
      <c r="I95"/>
      <c r="J95"/>
      <c r="K95"/>
      <c r="L95"/>
      <c r="N95"/>
    </row>
    <row r="96" spans="1:14" x14ac:dyDescent="0.3">
      <c r="A96" s="112">
        <v>2019</v>
      </c>
      <c r="B96" s="112">
        <v>11</v>
      </c>
      <c r="C96" s="107" t="s">
        <v>11</v>
      </c>
      <c r="D96" s="60" t="s">
        <v>6</v>
      </c>
      <c r="E96" s="60" t="s">
        <v>2</v>
      </c>
      <c r="F96" s="113">
        <v>353</v>
      </c>
      <c r="H96"/>
      <c r="I96"/>
      <c r="J96"/>
      <c r="K96"/>
      <c r="L96"/>
      <c r="N96"/>
    </row>
    <row r="97" spans="1:14" x14ac:dyDescent="0.3">
      <c r="A97" s="112">
        <v>2019</v>
      </c>
      <c r="B97" s="112">
        <v>11</v>
      </c>
      <c r="C97" s="107" t="s">
        <v>11</v>
      </c>
      <c r="D97" s="60" t="s">
        <v>14</v>
      </c>
      <c r="E97" s="60" t="s">
        <v>8</v>
      </c>
      <c r="F97" s="113">
        <v>0</v>
      </c>
      <c r="H97"/>
      <c r="I97"/>
      <c r="J97"/>
      <c r="K97"/>
      <c r="L97"/>
      <c r="N97"/>
    </row>
    <row r="98" spans="1:14" x14ac:dyDescent="0.3">
      <c r="A98" s="112">
        <v>2019</v>
      </c>
      <c r="B98" s="112">
        <v>11</v>
      </c>
      <c r="C98" s="107" t="s">
        <v>11</v>
      </c>
      <c r="D98" s="60" t="s">
        <v>9</v>
      </c>
      <c r="E98" s="60" t="s">
        <v>9</v>
      </c>
      <c r="F98" s="113">
        <v>0</v>
      </c>
      <c r="H98"/>
      <c r="I98"/>
      <c r="J98"/>
      <c r="K98"/>
      <c r="L98"/>
      <c r="N98"/>
    </row>
    <row r="99" spans="1:14" x14ac:dyDescent="0.3">
      <c r="A99" s="112">
        <v>2019</v>
      </c>
      <c r="B99" s="112">
        <v>11</v>
      </c>
      <c r="C99" s="107" t="s">
        <v>12</v>
      </c>
      <c r="D99" s="60" t="s">
        <v>28</v>
      </c>
      <c r="E99" s="60" t="s">
        <v>15</v>
      </c>
      <c r="F99" s="113">
        <v>10440</v>
      </c>
      <c r="H99"/>
      <c r="I99"/>
      <c r="J99"/>
      <c r="K99"/>
      <c r="L99"/>
      <c r="N99"/>
    </row>
    <row r="100" spans="1:14" x14ac:dyDescent="0.3">
      <c r="A100" s="112">
        <v>2019</v>
      </c>
      <c r="B100" s="112">
        <v>11</v>
      </c>
      <c r="C100" s="107" t="s">
        <v>12</v>
      </c>
      <c r="D100" s="60" t="s">
        <v>28</v>
      </c>
      <c r="E100" s="60" t="s">
        <v>16</v>
      </c>
      <c r="F100" s="113">
        <v>0</v>
      </c>
      <c r="H100"/>
      <c r="I100"/>
      <c r="J100"/>
      <c r="K100"/>
      <c r="L100"/>
      <c r="N100"/>
    </row>
    <row r="101" spans="1:14" x14ac:dyDescent="0.3">
      <c r="A101" s="112">
        <v>2019</v>
      </c>
      <c r="B101" s="112">
        <v>11</v>
      </c>
      <c r="C101" s="107" t="s">
        <v>12</v>
      </c>
      <c r="D101" s="60" t="s">
        <v>28</v>
      </c>
      <c r="E101" s="60" t="s">
        <v>13</v>
      </c>
      <c r="F101" s="113">
        <v>10470</v>
      </c>
      <c r="H101"/>
      <c r="I101"/>
      <c r="J101"/>
      <c r="K101"/>
      <c r="L101"/>
      <c r="N101"/>
    </row>
    <row r="102" spans="1:14" x14ac:dyDescent="0.3">
      <c r="A102" s="112">
        <v>2019</v>
      </c>
      <c r="B102" s="112">
        <v>12</v>
      </c>
      <c r="C102" s="107" t="s">
        <v>11</v>
      </c>
      <c r="D102" s="60" t="s">
        <v>10</v>
      </c>
      <c r="E102" s="60" t="s">
        <v>10</v>
      </c>
      <c r="F102" s="113">
        <v>1297</v>
      </c>
      <c r="H102"/>
      <c r="I102"/>
      <c r="J102"/>
      <c r="K102"/>
      <c r="L102"/>
      <c r="N102"/>
    </row>
    <row r="103" spans="1:14" x14ac:dyDescent="0.3">
      <c r="A103" s="112">
        <v>2019</v>
      </c>
      <c r="B103" s="112">
        <v>12</v>
      </c>
      <c r="C103" s="107" t="s">
        <v>11</v>
      </c>
      <c r="D103" s="60" t="s">
        <v>6</v>
      </c>
      <c r="E103" s="60" t="s">
        <v>1</v>
      </c>
      <c r="F103" s="113">
        <v>2254</v>
      </c>
      <c r="H103"/>
      <c r="I103"/>
      <c r="J103"/>
      <c r="K103"/>
      <c r="L103"/>
      <c r="N103"/>
    </row>
    <row r="104" spans="1:14" x14ac:dyDescent="0.3">
      <c r="A104" s="112">
        <v>2019</v>
      </c>
      <c r="B104" s="112">
        <v>12</v>
      </c>
      <c r="C104" s="107" t="s">
        <v>11</v>
      </c>
      <c r="D104" s="60" t="s">
        <v>6</v>
      </c>
      <c r="E104" s="60" t="s">
        <v>7</v>
      </c>
      <c r="F104" s="113">
        <v>0</v>
      </c>
      <c r="H104"/>
      <c r="I104"/>
      <c r="J104"/>
      <c r="K104"/>
      <c r="L104"/>
      <c r="N104"/>
    </row>
    <row r="105" spans="1:14" x14ac:dyDescent="0.3">
      <c r="A105" s="112">
        <v>2019</v>
      </c>
      <c r="B105" s="112">
        <v>12</v>
      </c>
      <c r="C105" s="107" t="s">
        <v>11</v>
      </c>
      <c r="D105" s="60" t="s">
        <v>6</v>
      </c>
      <c r="E105" s="60" t="s">
        <v>2</v>
      </c>
      <c r="F105" s="113">
        <v>247</v>
      </c>
      <c r="H105"/>
      <c r="I105"/>
      <c r="J105"/>
      <c r="K105"/>
      <c r="L105"/>
      <c r="N105"/>
    </row>
    <row r="106" spans="1:14" x14ac:dyDescent="0.3">
      <c r="A106" s="112">
        <v>2019</v>
      </c>
      <c r="B106" s="112">
        <v>12</v>
      </c>
      <c r="C106" s="107" t="s">
        <v>11</v>
      </c>
      <c r="D106" s="60" t="s">
        <v>14</v>
      </c>
      <c r="E106" s="60" t="s">
        <v>8</v>
      </c>
      <c r="F106" s="113">
        <v>0</v>
      </c>
      <c r="H106"/>
      <c r="I106"/>
      <c r="J106"/>
      <c r="K106"/>
      <c r="L106"/>
      <c r="N106"/>
    </row>
    <row r="107" spans="1:14" x14ac:dyDescent="0.3">
      <c r="A107" s="112">
        <v>2019</v>
      </c>
      <c r="B107" s="112">
        <v>12</v>
      </c>
      <c r="C107" s="107" t="s">
        <v>11</v>
      </c>
      <c r="D107" s="60" t="s">
        <v>9</v>
      </c>
      <c r="E107" s="60" t="s">
        <v>9</v>
      </c>
      <c r="F107" s="113">
        <v>1</v>
      </c>
      <c r="H107"/>
      <c r="I107"/>
      <c r="J107"/>
      <c r="K107"/>
      <c r="L107"/>
      <c r="N107"/>
    </row>
    <row r="108" spans="1:14" x14ac:dyDescent="0.3">
      <c r="A108" s="112">
        <v>2019</v>
      </c>
      <c r="B108" s="112">
        <v>12</v>
      </c>
      <c r="C108" s="107" t="s">
        <v>12</v>
      </c>
      <c r="D108" s="60" t="s">
        <v>28</v>
      </c>
      <c r="E108" s="60" t="s">
        <v>15</v>
      </c>
      <c r="F108" s="113">
        <v>9170</v>
      </c>
      <c r="H108"/>
      <c r="I108"/>
      <c r="J108"/>
      <c r="K108"/>
      <c r="L108"/>
      <c r="N108"/>
    </row>
    <row r="109" spans="1:14" x14ac:dyDescent="0.3">
      <c r="A109" s="112">
        <v>2019</v>
      </c>
      <c r="B109" s="112">
        <v>12</v>
      </c>
      <c r="C109" s="107" t="s">
        <v>12</v>
      </c>
      <c r="D109" s="60" t="s">
        <v>28</v>
      </c>
      <c r="E109" s="60" t="s">
        <v>16</v>
      </c>
      <c r="F109" s="113">
        <v>11741</v>
      </c>
      <c r="H109"/>
      <c r="I109"/>
      <c r="J109"/>
      <c r="K109"/>
      <c r="L109"/>
      <c r="N109"/>
    </row>
    <row r="110" spans="1:14" x14ac:dyDescent="0.3">
      <c r="A110" s="112">
        <v>2019</v>
      </c>
      <c r="B110" s="112">
        <v>12</v>
      </c>
      <c r="C110" s="107" t="s">
        <v>12</v>
      </c>
      <c r="D110" s="60" t="s">
        <v>28</v>
      </c>
      <c r="E110" s="60" t="s">
        <v>13</v>
      </c>
      <c r="F110" s="113">
        <v>0</v>
      </c>
      <c r="H110"/>
      <c r="I110"/>
      <c r="J110"/>
      <c r="K110"/>
      <c r="L110"/>
      <c r="N110"/>
    </row>
    <row r="111" spans="1:14" x14ac:dyDescent="0.3">
      <c r="A111" s="152">
        <v>2020</v>
      </c>
      <c r="B111" s="152">
        <v>1</v>
      </c>
      <c r="C111" s="153" t="s">
        <v>11</v>
      </c>
      <c r="D111" s="146" t="s">
        <v>10</v>
      </c>
      <c r="E111" s="146" t="s">
        <v>10</v>
      </c>
      <c r="F111" s="154">
        <v>1353</v>
      </c>
      <c r="H111"/>
      <c r="I111"/>
      <c r="J111"/>
      <c r="K111"/>
      <c r="L111"/>
      <c r="N111"/>
    </row>
    <row r="112" spans="1:14" x14ac:dyDescent="0.3">
      <c r="A112" s="152">
        <v>2020</v>
      </c>
      <c r="B112" s="152">
        <v>1</v>
      </c>
      <c r="C112" s="153" t="s">
        <v>11</v>
      </c>
      <c r="D112" s="146" t="s">
        <v>6</v>
      </c>
      <c r="E112" s="146" t="s">
        <v>1</v>
      </c>
      <c r="F112" s="154">
        <v>2367</v>
      </c>
      <c r="H112"/>
      <c r="I112"/>
      <c r="J112"/>
      <c r="K112"/>
      <c r="L112"/>
      <c r="N112"/>
    </row>
    <row r="113" spans="1:14" x14ac:dyDescent="0.3">
      <c r="A113" s="152">
        <v>2020</v>
      </c>
      <c r="B113" s="152">
        <v>1</v>
      </c>
      <c r="C113" s="153" t="s">
        <v>11</v>
      </c>
      <c r="D113" s="146" t="s">
        <v>6</v>
      </c>
      <c r="E113" s="146" t="s">
        <v>7</v>
      </c>
      <c r="F113" s="154">
        <v>0</v>
      </c>
      <c r="H113"/>
      <c r="I113"/>
      <c r="J113"/>
      <c r="K113"/>
      <c r="L113"/>
      <c r="N113"/>
    </row>
    <row r="114" spans="1:14" x14ac:dyDescent="0.3">
      <c r="A114" s="152">
        <v>2020</v>
      </c>
      <c r="B114" s="152">
        <v>1</v>
      </c>
      <c r="C114" s="153" t="s">
        <v>11</v>
      </c>
      <c r="D114" s="146" t="s">
        <v>6</v>
      </c>
      <c r="E114" s="146" t="s">
        <v>2</v>
      </c>
      <c r="F114" s="154">
        <v>82</v>
      </c>
      <c r="H114"/>
      <c r="I114"/>
      <c r="J114"/>
      <c r="K114"/>
      <c r="L114"/>
      <c r="N114"/>
    </row>
    <row r="115" spans="1:14" x14ac:dyDescent="0.3">
      <c r="A115" s="152">
        <v>2020</v>
      </c>
      <c r="B115" s="152">
        <v>1</v>
      </c>
      <c r="C115" s="153" t="s">
        <v>11</v>
      </c>
      <c r="D115" s="146" t="s">
        <v>14</v>
      </c>
      <c r="E115" s="146" t="s">
        <v>8</v>
      </c>
      <c r="F115" s="154">
        <v>1</v>
      </c>
      <c r="H115"/>
      <c r="I115"/>
      <c r="J115"/>
      <c r="K115"/>
      <c r="L115"/>
      <c r="N115"/>
    </row>
    <row r="116" spans="1:14" x14ac:dyDescent="0.3">
      <c r="A116" s="152">
        <v>2020</v>
      </c>
      <c r="B116" s="152">
        <v>1</v>
      </c>
      <c r="C116" s="153" t="s">
        <v>11</v>
      </c>
      <c r="D116" s="146" t="s">
        <v>9</v>
      </c>
      <c r="E116" s="146" t="s">
        <v>9</v>
      </c>
      <c r="F116" s="154">
        <v>1</v>
      </c>
      <c r="H116"/>
      <c r="I116"/>
      <c r="J116"/>
      <c r="K116"/>
      <c r="L116"/>
      <c r="N116"/>
    </row>
    <row r="117" spans="1:14" x14ac:dyDescent="0.3">
      <c r="A117" s="152">
        <v>2020</v>
      </c>
      <c r="B117" s="152">
        <v>1</v>
      </c>
      <c r="C117" s="153" t="s">
        <v>12</v>
      </c>
      <c r="D117" s="146" t="s">
        <v>28</v>
      </c>
      <c r="E117" s="146" t="s">
        <v>15</v>
      </c>
      <c r="F117" s="154">
        <v>0</v>
      </c>
      <c r="H117"/>
      <c r="I117"/>
      <c r="J117"/>
      <c r="K117"/>
      <c r="L117"/>
      <c r="N117"/>
    </row>
    <row r="118" spans="1:14" x14ac:dyDescent="0.3">
      <c r="A118" s="152">
        <v>2020</v>
      </c>
      <c r="B118" s="152">
        <v>1</v>
      </c>
      <c r="C118" s="153" t="s">
        <v>12</v>
      </c>
      <c r="D118" s="146" t="s">
        <v>28</v>
      </c>
      <c r="E118" s="146" t="s">
        <v>16</v>
      </c>
      <c r="F118" s="154">
        <v>0</v>
      </c>
      <c r="H118"/>
      <c r="I118"/>
      <c r="J118"/>
      <c r="K118"/>
      <c r="L118"/>
      <c r="N118"/>
    </row>
    <row r="119" spans="1:14" x14ac:dyDescent="0.3">
      <c r="A119" s="152">
        <v>2020</v>
      </c>
      <c r="B119" s="152">
        <v>1</v>
      </c>
      <c r="C119" s="153" t="s">
        <v>12</v>
      </c>
      <c r="D119" s="146" t="s">
        <v>28</v>
      </c>
      <c r="E119" s="146" t="s">
        <v>13</v>
      </c>
      <c r="F119" s="154">
        <v>26735</v>
      </c>
      <c r="H119"/>
      <c r="I119"/>
      <c r="J119"/>
      <c r="K119"/>
      <c r="L119"/>
      <c r="N119"/>
    </row>
    <row r="120" spans="1:14" x14ac:dyDescent="0.3">
      <c r="A120" s="152">
        <v>2020</v>
      </c>
      <c r="B120" s="152">
        <v>2</v>
      </c>
      <c r="C120" s="153" t="s">
        <v>11</v>
      </c>
      <c r="D120" s="146" t="s">
        <v>10</v>
      </c>
      <c r="E120" s="146" t="s">
        <v>10</v>
      </c>
      <c r="F120" s="154">
        <v>1630</v>
      </c>
      <c r="H120"/>
      <c r="I120"/>
      <c r="J120"/>
      <c r="K120"/>
      <c r="L120"/>
      <c r="N120"/>
    </row>
    <row r="121" spans="1:14" x14ac:dyDescent="0.3">
      <c r="A121" s="152">
        <v>2020</v>
      </c>
      <c r="B121" s="152">
        <v>2</v>
      </c>
      <c r="C121" s="153" t="s">
        <v>11</v>
      </c>
      <c r="D121" s="146" t="s">
        <v>6</v>
      </c>
      <c r="E121" s="146" t="s">
        <v>1</v>
      </c>
      <c r="F121" s="154">
        <v>2930</v>
      </c>
      <c r="H121"/>
      <c r="I121"/>
      <c r="J121"/>
      <c r="K121"/>
      <c r="L121"/>
      <c r="N121"/>
    </row>
    <row r="122" spans="1:14" x14ac:dyDescent="0.3">
      <c r="A122" s="152">
        <v>2020</v>
      </c>
      <c r="B122" s="152">
        <v>2</v>
      </c>
      <c r="C122" s="153" t="s">
        <v>11</v>
      </c>
      <c r="D122" s="146" t="s">
        <v>6</v>
      </c>
      <c r="E122" s="146" t="s">
        <v>7</v>
      </c>
      <c r="F122" s="154">
        <v>0</v>
      </c>
      <c r="H122"/>
      <c r="I122"/>
      <c r="J122"/>
      <c r="K122"/>
      <c r="L122"/>
      <c r="N122"/>
    </row>
    <row r="123" spans="1:14" x14ac:dyDescent="0.3">
      <c r="A123" s="152">
        <v>2020</v>
      </c>
      <c r="B123" s="152">
        <v>2</v>
      </c>
      <c r="C123" s="153" t="s">
        <v>11</v>
      </c>
      <c r="D123" s="146" t="s">
        <v>6</v>
      </c>
      <c r="E123" s="146" t="s">
        <v>2</v>
      </c>
      <c r="F123" s="154">
        <v>104</v>
      </c>
      <c r="H123"/>
      <c r="I123"/>
      <c r="J123"/>
      <c r="K123"/>
      <c r="L123"/>
      <c r="N123"/>
    </row>
    <row r="124" spans="1:14" x14ac:dyDescent="0.3">
      <c r="A124" s="152">
        <v>2020</v>
      </c>
      <c r="B124" s="152">
        <v>2</v>
      </c>
      <c r="C124" s="153" t="s">
        <v>11</v>
      </c>
      <c r="D124" s="146" t="s">
        <v>14</v>
      </c>
      <c r="E124" s="146" t="s">
        <v>8</v>
      </c>
      <c r="F124" s="154">
        <v>0</v>
      </c>
      <c r="H124"/>
      <c r="I124"/>
      <c r="J124"/>
      <c r="K124"/>
      <c r="L124"/>
      <c r="N124"/>
    </row>
    <row r="125" spans="1:14" x14ac:dyDescent="0.3">
      <c r="A125" s="152">
        <v>2020</v>
      </c>
      <c r="B125" s="152">
        <v>2</v>
      </c>
      <c r="C125" s="153" t="s">
        <v>11</v>
      </c>
      <c r="D125" s="146" t="s">
        <v>9</v>
      </c>
      <c r="E125" s="146" t="s">
        <v>9</v>
      </c>
      <c r="F125" s="154">
        <v>0</v>
      </c>
      <c r="H125"/>
      <c r="I125"/>
      <c r="J125"/>
      <c r="K125"/>
      <c r="L125"/>
      <c r="N125"/>
    </row>
    <row r="126" spans="1:14" x14ac:dyDescent="0.3">
      <c r="A126" s="152">
        <v>2020</v>
      </c>
      <c r="B126" s="152">
        <v>2</v>
      </c>
      <c r="C126" s="153" t="s">
        <v>12</v>
      </c>
      <c r="D126" s="146" t="s">
        <v>28</v>
      </c>
      <c r="E126" s="146" t="s">
        <v>15</v>
      </c>
      <c r="F126" s="154">
        <v>0</v>
      </c>
      <c r="H126"/>
      <c r="I126"/>
      <c r="J126"/>
      <c r="K126"/>
      <c r="L126"/>
      <c r="N126"/>
    </row>
    <row r="127" spans="1:14" x14ac:dyDescent="0.3">
      <c r="A127" s="152">
        <v>2020</v>
      </c>
      <c r="B127" s="152">
        <v>2</v>
      </c>
      <c r="C127" s="153" t="s">
        <v>12</v>
      </c>
      <c r="D127" s="146" t="s">
        <v>28</v>
      </c>
      <c r="E127" s="146" t="s">
        <v>16</v>
      </c>
      <c r="F127" s="154">
        <v>0</v>
      </c>
      <c r="H127"/>
      <c r="I127"/>
      <c r="J127"/>
      <c r="K127"/>
      <c r="L127"/>
      <c r="N127"/>
    </row>
    <row r="128" spans="1:14" x14ac:dyDescent="0.3">
      <c r="A128" s="152">
        <v>2020</v>
      </c>
      <c r="B128" s="152">
        <v>2</v>
      </c>
      <c r="C128" s="153" t="s">
        <v>12</v>
      </c>
      <c r="D128" s="146" t="s">
        <v>28</v>
      </c>
      <c r="E128" s="146" t="s">
        <v>13</v>
      </c>
      <c r="F128" s="154">
        <v>17995</v>
      </c>
      <c r="H128"/>
      <c r="I128"/>
      <c r="J128"/>
      <c r="K128"/>
      <c r="L128"/>
      <c r="N128"/>
    </row>
    <row r="129" spans="1:14" x14ac:dyDescent="0.3">
      <c r="A129" s="152">
        <v>2020</v>
      </c>
      <c r="B129" s="152">
        <v>3</v>
      </c>
      <c r="C129" s="153" t="s">
        <v>11</v>
      </c>
      <c r="D129" s="146" t="s">
        <v>10</v>
      </c>
      <c r="E129" s="146" t="s">
        <v>10</v>
      </c>
      <c r="F129" s="154">
        <v>2804</v>
      </c>
      <c r="H129"/>
      <c r="I129"/>
      <c r="J129"/>
      <c r="K129"/>
      <c r="L129"/>
      <c r="N129"/>
    </row>
    <row r="130" spans="1:14" x14ac:dyDescent="0.3">
      <c r="A130" s="152">
        <v>2020</v>
      </c>
      <c r="B130" s="152">
        <v>3</v>
      </c>
      <c r="C130" s="153" t="s">
        <v>11</v>
      </c>
      <c r="D130" s="146" t="s">
        <v>6</v>
      </c>
      <c r="E130" s="146" t="s">
        <v>1</v>
      </c>
      <c r="F130" s="154">
        <v>4391</v>
      </c>
      <c r="H130"/>
      <c r="I130"/>
      <c r="J130"/>
      <c r="K130"/>
      <c r="L130"/>
      <c r="N130"/>
    </row>
    <row r="131" spans="1:14" x14ac:dyDescent="0.3">
      <c r="A131" s="152">
        <v>2020</v>
      </c>
      <c r="B131" s="152">
        <v>3</v>
      </c>
      <c r="C131" s="153" t="s">
        <v>11</v>
      </c>
      <c r="D131" s="146" t="s">
        <v>6</v>
      </c>
      <c r="E131" s="146" t="s">
        <v>7</v>
      </c>
      <c r="F131" s="154">
        <v>0</v>
      </c>
      <c r="H131"/>
      <c r="I131"/>
      <c r="J131"/>
      <c r="K131"/>
      <c r="L131"/>
      <c r="N131"/>
    </row>
    <row r="132" spans="1:14" x14ac:dyDescent="0.3">
      <c r="A132" s="152">
        <v>2020</v>
      </c>
      <c r="B132" s="152">
        <v>3</v>
      </c>
      <c r="C132" s="153" t="s">
        <v>11</v>
      </c>
      <c r="D132" s="146" t="s">
        <v>6</v>
      </c>
      <c r="E132" s="146" t="s">
        <v>2</v>
      </c>
      <c r="F132" s="154">
        <v>107</v>
      </c>
      <c r="H132"/>
      <c r="I132"/>
      <c r="J132"/>
      <c r="K132"/>
      <c r="L132"/>
      <c r="N132"/>
    </row>
    <row r="133" spans="1:14" x14ac:dyDescent="0.3">
      <c r="A133" s="152">
        <v>2020</v>
      </c>
      <c r="B133" s="152">
        <v>3</v>
      </c>
      <c r="C133" s="153" t="s">
        <v>11</v>
      </c>
      <c r="D133" s="146" t="s">
        <v>14</v>
      </c>
      <c r="E133" s="146" t="s">
        <v>8</v>
      </c>
      <c r="F133" s="154">
        <v>0</v>
      </c>
      <c r="H133"/>
      <c r="I133"/>
      <c r="J133"/>
      <c r="K133"/>
      <c r="L133"/>
      <c r="N133"/>
    </row>
    <row r="134" spans="1:14" x14ac:dyDescent="0.3">
      <c r="A134" s="152">
        <v>2020</v>
      </c>
      <c r="B134" s="152">
        <v>3</v>
      </c>
      <c r="C134" s="153" t="s">
        <v>11</v>
      </c>
      <c r="D134" s="146" t="s">
        <v>9</v>
      </c>
      <c r="E134" s="146" t="s">
        <v>9</v>
      </c>
      <c r="F134" s="154">
        <v>0</v>
      </c>
      <c r="H134"/>
      <c r="I134"/>
      <c r="J134"/>
      <c r="K134"/>
      <c r="L134"/>
      <c r="N134"/>
    </row>
    <row r="135" spans="1:14" x14ac:dyDescent="0.3">
      <c r="A135" s="152">
        <v>2020</v>
      </c>
      <c r="B135" s="152">
        <v>3</v>
      </c>
      <c r="C135" s="153" t="s">
        <v>12</v>
      </c>
      <c r="D135" s="146" t="s">
        <v>28</v>
      </c>
      <c r="E135" s="146" t="s">
        <v>15</v>
      </c>
      <c r="F135" s="154">
        <v>1680</v>
      </c>
      <c r="H135"/>
      <c r="I135"/>
      <c r="J135"/>
      <c r="K135"/>
      <c r="L135"/>
      <c r="N135"/>
    </row>
    <row r="136" spans="1:14" x14ac:dyDescent="0.3">
      <c r="A136" s="152">
        <v>2020</v>
      </c>
      <c r="B136" s="152">
        <v>3</v>
      </c>
      <c r="C136" s="153" t="s">
        <v>12</v>
      </c>
      <c r="D136" s="146" t="s">
        <v>28</v>
      </c>
      <c r="E136" s="146" t="s">
        <v>16</v>
      </c>
      <c r="F136" s="154">
        <v>0</v>
      </c>
      <c r="H136"/>
      <c r="I136"/>
      <c r="J136"/>
      <c r="K136"/>
      <c r="L136"/>
      <c r="N136"/>
    </row>
    <row r="137" spans="1:14" x14ac:dyDescent="0.3">
      <c r="A137" s="152">
        <v>2020</v>
      </c>
      <c r="B137" s="152">
        <v>3</v>
      </c>
      <c r="C137" s="153" t="s">
        <v>12</v>
      </c>
      <c r="D137" s="146" t="s">
        <v>28</v>
      </c>
      <c r="E137" s="146" t="s">
        <v>13</v>
      </c>
      <c r="F137" s="154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4" tint="-0.499984740745262"/>
  </sheetPr>
  <dimension ref="A1:J6"/>
  <sheetViews>
    <sheetView zoomScale="150" zoomScaleNormal="150" workbookViewId="0">
      <pane ySplit="1" topLeftCell="A2" activePane="bottomLeft" state="frozen"/>
      <selection pane="bottomLeft" sqref="A1:XFD1048576"/>
    </sheetView>
  </sheetViews>
  <sheetFormatPr baseColWidth="10" defaultRowHeight="14.4" x14ac:dyDescent="0.3"/>
  <cols>
    <col min="1" max="1" width="27.44140625" customWidth="1"/>
    <col min="2" max="2" width="14.44140625" style="62" customWidth="1"/>
    <col min="3" max="3" width="21" customWidth="1"/>
    <col min="4" max="4" width="7.6640625" customWidth="1"/>
    <col min="5" max="5" width="17.44140625" bestFit="1" customWidth="1"/>
    <col min="6" max="7" width="11.5546875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58" t="s">
        <v>0</v>
      </c>
      <c r="B1" s="58" t="s">
        <v>22</v>
      </c>
      <c r="C1" s="58" t="s">
        <v>33</v>
      </c>
      <c r="E1" s="58" t="s">
        <v>105</v>
      </c>
      <c r="F1" s="58" t="s">
        <v>109</v>
      </c>
      <c r="G1" s="58" t="s">
        <v>110</v>
      </c>
      <c r="I1" s="58" t="s">
        <v>173</v>
      </c>
      <c r="J1" s="58" t="s">
        <v>174</v>
      </c>
    </row>
    <row r="2" spans="1:10" x14ac:dyDescent="0.3">
      <c r="A2" t="s">
        <v>14</v>
      </c>
      <c r="B2" s="62" t="s">
        <v>23</v>
      </c>
      <c r="E2" t="s">
        <v>106</v>
      </c>
      <c r="F2" s="145">
        <v>0.94369227700000002</v>
      </c>
      <c r="G2" s="111">
        <f>1-F2</f>
        <v>5.6307722999999976E-2</v>
      </c>
      <c r="I2" t="s">
        <v>175</v>
      </c>
      <c r="J2" s="146">
        <v>1950</v>
      </c>
    </row>
    <row r="3" spans="1:10" x14ac:dyDescent="0.3">
      <c r="A3" t="s">
        <v>6</v>
      </c>
      <c r="B3" s="62" t="s">
        <v>24</v>
      </c>
      <c r="E3" t="s">
        <v>107</v>
      </c>
      <c r="F3" s="145">
        <v>0.94305599100000004</v>
      </c>
      <c r="G3" s="111">
        <f t="shared" ref="G3:G4" si="0">1-F3</f>
        <v>5.6944008999999962E-2</v>
      </c>
    </row>
    <row r="4" spans="1:10" x14ac:dyDescent="0.3">
      <c r="A4" t="s">
        <v>28</v>
      </c>
      <c r="B4" s="62" t="s">
        <v>25</v>
      </c>
      <c r="E4" t="s">
        <v>108</v>
      </c>
      <c r="F4" s="145">
        <v>0.94919677800000002</v>
      </c>
      <c r="G4" s="111">
        <f t="shared" si="0"/>
        <v>5.0803221999999981E-2</v>
      </c>
    </row>
    <row r="5" spans="1:10" x14ac:dyDescent="0.3">
      <c r="A5" t="s">
        <v>10</v>
      </c>
      <c r="B5" s="62" t="s">
        <v>26</v>
      </c>
      <c r="E5" t="s">
        <v>130</v>
      </c>
      <c r="F5" s="126">
        <f>AVERAGE(F2:F4)</f>
        <v>0.94531501533333329</v>
      </c>
      <c r="G5" s="126">
        <f>AVERAGE(G2:G4)</f>
        <v>5.4684984666666638E-2</v>
      </c>
    </row>
    <row r="6" spans="1:10" x14ac:dyDescent="0.3">
      <c r="A6" t="s">
        <v>9</v>
      </c>
      <c r="B6" s="62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F42"/>
  <sheetViews>
    <sheetView zoomScale="80" zoomScaleNormal="80" workbookViewId="0">
      <selection sqref="A1:XFD1048576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58" t="s">
        <v>111</v>
      </c>
      <c r="B1" s="158"/>
      <c r="C1" s="158"/>
      <c r="D1" s="158"/>
      <c r="E1" s="158"/>
      <c r="F1" s="158"/>
    </row>
    <row r="2" spans="1:6" x14ac:dyDescent="0.3">
      <c r="A2" s="143" t="s">
        <v>112</v>
      </c>
      <c r="B2" s="143" t="s">
        <v>113</v>
      </c>
      <c r="C2" s="143" t="s">
        <v>115</v>
      </c>
      <c r="D2" s="143" t="s">
        <v>116</v>
      </c>
      <c r="E2" s="143" t="s">
        <v>117</v>
      </c>
      <c r="F2" s="143" t="s">
        <v>119</v>
      </c>
    </row>
    <row r="3" spans="1:6" x14ac:dyDescent="0.3">
      <c r="A3" s="120">
        <v>2020</v>
      </c>
      <c r="B3" s="120">
        <v>1</v>
      </c>
      <c r="C3" s="120" t="s">
        <v>114</v>
      </c>
      <c r="D3" s="120" t="s">
        <v>166</v>
      </c>
      <c r="E3" s="120" t="s">
        <v>118</v>
      </c>
      <c r="F3" s="120" t="s">
        <v>120</v>
      </c>
    </row>
    <row r="4" spans="1:6" x14ac:dyDescent="0.3">
      <c r="A4" t="s">
        <v>151</v>
      </c>
    </row>
    <row r="5" spans="1:6" x14ac:dyDescent="0.3">
      <c r="A5" t="s">
        <v>121</v>
      </c>
      <c r="C5" s="142" t="s">
        <v>126</v>
      </c>
      <c r="D5" s="142" t="s">
        <v>143</v>
      </c>
    </row>
    <row r="6" spans="1:6" x14ac:dyDescent="0.3">
      <c r="B6" t="s">
        <v>152</v>
      </c>
      <c r="C6" s="144">
        <v>31714</v>
      </c>
      <c r="D6" s="57">
        <v>100136210</v>
      </c>
    </row>
    <row r="7" spans="1:6" x14ac:dyDescent="0.3">
      <c r="B7" t="s">
        <v>153</v>
      </c>
      <c r="C7" s="144"/>
      <c r="D7" s="57"/>
    </row>
    <row r="8" spans="1:6" x14ac:dyDescent="0.3">
      <c r="B8" t="s">
        <v>154</v>
      </c>
      <c r="C8" s="144"/>
      <c r="D8" s="57"/>
    </row>
    <row r="9" spans="1:6" x14ac:dyDescent="0.3">
      <c r="B9" t="s">
        <v>147</v>
      </c>
      <c r="C9" s="144">
        <v>215.2400996479999</v>
      </c>
      <c r="D9" s="57">
        <v>44011.268445236477</v>
      </c>
    </row>
    <row r="10" spans="1:6" x14ac:dyDescent="0.3">
      <c r="B10" t="s">
        <v>155</v>
      </c>
      <c r="C10" s="144">
        <v>10649.353913986663</v>
      </c>
      <c r="D10" s="57">
        <v>2565710.8322220352</v>
      </c>
    </row>
    <row r="11" spans="1:6" x14ac:dyDescent="0.3">
      <c r="B11" t="s">
        <v>156</v>
      </c>
      <c r="C11" s="144">
        <v>42578.594013634662</v>
      </c>
      <c r="D11" s="57">
        <v>102745932.10066727</v>
      </c>
    </row>
    <row r="12" spans="1:6" x14ac:dyDescent="0.3">
      <c r="A12" t="s">
        <v>157</v>
      </c>
      <c r="D12" s="57"/>
    </row>
    <row r="14" spans="1:6" x14ac:dyDescent="0.3">
      <c r="A14" s="158" t="s">
        <v>111</v>
      </c>
      <c r="B14" s="158"/>
      <c r="C14" s="158"/>
      <c r="D14" s="158"/>
      <c r="E14" s="158"/>
      <c r="F14" s="158"/>
    </row>
    <row r="15" spans="1:6" x14ac:dyDescent="0.3">
      <c r="A15" s="143" t="s">
        <v>112</v>
      </c>
      <c r="B15" s="143" t="s">
        <v>113</v>
      </c>
      <c r="C15" s="143" t="s">
        <v>115</v>
      </c>
      <c r="D15" s="143" t="s">
        <v>116</v>
      </c>
      <c r="E15" s="143" t="s">
        <v>117</v>
      </c>
      <c r="F15" s="143" t="s">
        <v>119</v>
      </c>
    </row>
    <row r="16" spans="1:6" x14ac:dyDescent="0.3">
      <c r="A16" s="120">
        <v>2020</v>
      </c>
      <c r="B16" s="120">
        <v>1</v>
      </c>
      <c r="C16" s="120" t="s">
        <v>114</v>
      </c>
      <c r="D16" s="120" t="s">
        <v>166</v>
      </c>
      <c r="E16" s="120" t="s">
        <v>118</v>
      </c>
      <c r="F16" s="120" t="s">
        <v>158</v>
      </c>
    </row>
    <row r="17" spans="1:6" x14ac:dyDescent="0.3">
      <c r="A17" t="s">
        <v>151</v>
      </c>
    </row>
    <row r="18" spans="1:6" x14ac:dyDescent="0.3">
      <c r="A18" t="s">
        <v>121</v>
      </c>
      <c r="C18" s="142" t="s">
        <v>126</v>
      </c>
      <c r="D18" s="142" t="s">
        <v>143</v>
      </c>
    </row>
    <row r="19" spans="1:6" x14ac:dyDescent="0.3">
      <c r="B19" t="s">
        <v>152</v>
      </c>
      <c r="C19" s="144">
        <v>1204563</v>
      </c>
      <c r="D19" s="57">
        <v>440516927</v>
      </c>
    </row>
    <row r="20" spans="1:6" x14ac:dyDescent="0.3">
      <c r="B20" t="s">
        <v>153</v>
      </c>
      <c r="C20" s="144"/>
      <c r="D20" s="57"/>
    </row>
    <row r="21" spans="1:6" x14ac:dyDescent="0.3">
      <c r="B21" t="s">
        <v>154</v>
      </c>
      <c r="C21" s="144"/>
      <c r="D21" s="57"/>
    </row>
    <row r="22" spans="1:6" x14ac:dyDescent="0.3">
      <c r="B22" t="s">
        <v>147</v>
      </c>
      <c r="C22" s="144">
        <v>18944.573923057989</v>
      </c>
      <c r="D22" s="57">
        <v>3104765.0704576052</v>
      </c>
    </row>
    <row r="23" spans="1:6" x14ac:dyDescent="0.3">
      <c r="B23" t="s">
        <v>155</v>
      </c>
      <c r="C23" s="144">
        <v>3140.3399294679984</v>
      </c>
      <c r="D23" s="57">
        <v>1975904.6686880402</v>
      </c>
    </row>
    <row r="24" spans="1:6" x14ac:dyDescent="0.3">
      <c r="B24" t="s">
        <v>156</v>
      </c>
      <c r="C24" s="144">
        <v>1226647.9138525259</v>
      </c>
      <c r="D24" s="57">
        <v>445597596.73914564</v>
      </c>
    </row>
    <row r="25" spans="1:6" x14ac:dyDescent="0.3">
      <c r="A25" t="s">
        <v>157</v>
      </c>
    </row>
    <row r="27" spans="1:6" x14ac:dyDescent="0.3">
      <c r="A27" s="158" t="s">
        <v>111</v>
      </c>
      <c r="B27" s="158"/>
      <c r="C27" s="158"/>
      <c r="D27" s="158"/>
      <c r="E27" s="158"/>
      <c r="F27" s="158"/>
    </row>
    <row r="28" spans="1:6" x14ac:dyDescent="0.3">
      <c r="A28" s="143" t="s">
        <v>112</v>
      </c>
      <c r="B28" s="143" t="s">
        <v>113</v>
      </c>
      <c r="C28" s="143" t="s">
        <v>115</v>
      </c>
      <c r="D28" s="143" t="s">
        <v>116</v>
      </c>
      <c r="E28" s="143" t="s">
        <v>117</v>
      </c>
      <c r="F28" s="143" t="s">
        <v>119</v>
      </c>
    </row>
    <row r="29" spans="1:6" x14ac:dyDescent="0.3">
      <c r="A29" s="120">
        <v>2020</v>
      </c>
      <c r="B29" s="120">
        <v>1</v>
      </c>
      <c r="C29" s="120" t="s">
        <v>159</v>
      </c>
      <c r="D29" s="120" t="s">
        <v>167</v>
      </c>
      <c r="E29" s="120" t="s">
        <v>118</v>
      </c>
      <c r="F29" s="120" t="s">
        <v>136</v>
      </c>
    </row>
    <row r="30" spans="1:6" x14ac:dyDescent="0.3">
      <c r="A30" t="s">
        <v>160</v>
      </c>
      <c r="C30" s="142" t="s">
        <v>126</v>
      </c>
      <c r="D30" s="142" t="s">
        <v>143</v>
      </c>
    </row>
    <row r="31" spans="1:6" x14ac:dyDescent="0.3">
      <c r="B31" t="s">
        <v>138</v>
      </c>
      <c r="C31" s="144"/>
      <c r="D31" s="57"/>
    </row>
    <row r="32" spans="1:6" x14ac:dyDescent="0.3">
      <c r="B32" t="s">
        <v>162</v>
      </c>
      <c r="C32" s="144"/>
      <c r="D32" s="57"/>
    </row>
    <row r="33" spans="1:4" x14ac:dyDescent="0.3">
      <c r="B33" t="s">
        <v>163</v>
      </c>
      <c r="C33" s="144">
        <v>19159.814022705988</v>
      </c>
      <c r="D33" s="57">
        <v>3148776.3389028418</v>
      </c>
    </row>
    <row r="34" spans="1:4" x14ac:dyDescent="0.3">
      <c r="B34" t="s">
        <v>150</v>
      </c>
      <c r="C34" s="144">
        <v>13789.693843454661</v>
      </c>
      <c r="D34" s="57">
        <v>4541615.68709765</v>
      </c>
    </row>
    <row r="35" spans="1:4" x14ac:dyDescent="0.3">
      <c r="B35" t="s">
        <v>168</v>
      </c>
      <c r="C35" s="144">
        <v>32949.507866160653</v>
      </c>
      <c r="D35" s="57">
        <v>7690392.0260004923</v>
      </c>
    </row>
    <row r="36" spans="1:4" x14ac:dyDescent="0.3">
      <c r="A36" t="s">
        <v>169</v>
      </c>
      <c r="C36" s="144"/>
      <c r="D36" s="57"/>
    </row>
    <row r="37" spans="1:4" x14ac:dyDescent="0.3">
      <c r="B37" t="s">
        <v>170</v>
      </c>
      <c r="C37" s="144"/>
      <c r="D37" s="57">
        <v>1950</v>
      </c>
    </row>
    <row r="38" spans="1:4" x14ac:dyDescent="0.3">
      <c r="B38" t="s">
        <v>171</v>
      </c>
      <c r="C38" s="144"/>
      <c r="D38" s="57"/>
    </row>
    <row r="39" spans="1:4" x14ac:dyDescent="0.3">
      <c r="A39" t="s">
        <v>161</v>
      </c>
      <c r="C39" s="144"/>
      <c r="D39" s="57"/>
    </row>
    <row r="40" spans="1:4" x14ac:dyDescent="0.3">
      <c r="B40" t="s">
        <v>172</v>
      </c>
      <c r="C40" s="144">
        <v>19159.814022705988</v>
      </c>
      <c r="D40" s="57">
        <v>3148776.3389028418</v>
      </c>
    </row>
    <row r="41" spans="1:4" x14ac:dyDescent="0.3">
      <c r="B41" t="s">
        <v>164</v>
      </c>
      <c r="C41" s="144"/>
      <c r="D41" s="57"/>
    </row>
    <row r="42" spans="1:4" x14ac:dyDescent="0.3">
      <c r="B42" t="s">
        <v>165</v>
      </c>
      <c r="C42" s="144">
        <v>19159.814022705988</v>
      </c>
      <c r="D42" s="57">
        <v>3148776.3389028418</v>
      </c>
    </row>
  </sheetData>
  <mergeCells count="3">
    <mergeCell ref="A27:F27"/>
    <mergeCell ref="A14:F14"/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5" tint="-0.249977111117893"/>
  </sheetPr>
  <dimension ref="A1:N62"/>
  <sheetViews>
    <sheetView zoomScale="80" zoomScaleNormal="80" workbookViewId="0">
      <selection activeCell="F11" sqref="F11"/>
    </sheetView>
  </sheetViews>
  <sheetFormatPr baseColWidth="10" defaultRowHeight="14.4" x14ac:dyDescent="0.3"/>
  <cols>
    <col min="1" max="1" width="5.44140625" customWidth="1"/>
    <col min="3" max="6" width="25.5546875" customWidth="1"/>
    <col min="7" max="8" width="5.6640625" customWidth="1"/>
    <col min="9" max="9" width="32" bestFit="1" customWidth="1"/>
    <col min="10" max="11" width="25.5546875" style="57" customWidth="1"/>
    <col min="12" max="12" width="3.5546875" customWidth="1"/>
    <col min="13" max="14" width="25.5546875" customWidth="1"/>
  </cols>
  <sheetData>
    <row r="1" spans="1:14" x14ac:dyDescent="0.3">
      <c r="C1" s="162" t="s">
        <v>128</v>
      </c>
      <c r="D1" s="162"/>
      <c r="E1" s="162"/>
      <c r="F1" s="162"/>
      <c r="I1" t="s">
        <v>136</v>
      </c>
    </row>
    <row r="2" spans="1:14" x14ac:dyDescent="0.3">
      <c r="C2" s="159" t="s">
        <v>124</v>
      </c>
      <c r="D2" s="159"/>
      <c r="E2" s="159" t="s">
        <v>125</v>
      </c>
      <c r="F2" s="159"/>
      <c r="I2" t="s">
        <v>137</v>
      </c>
    </row>
    <row r="3" spans="1:14" x14ac:dyDescent="0.3">
      <c r="C3" s="123" t="s">
        <v>126</v>
      </c>
      <c r="D3" s="123" t="s">
        <v>122</v>
      </c>
      <c r="E3" s="123" t="s">
        <v>126</v>
      </c>
      <c r="F3" s="123" t="s">
        <v>122</v>
      </c>
      <c r="I3" s="135" t="s">
        <v>138</v>
      </c>
      <c r="J3" s="137" t="s">
        <v>126</v>
      </c>
      <c r="K3" s="137" t="s">
        <v>143</v>
      </c>
    </row>
    <row r="4" spans="1:14" x14ac:dyDescent="0.3">
      <c r="A4" s="122"/>
      <c r="B4" s="124" t="s">
        <v>31</v>
      </c>
      <c r="C4" s="128">
        <v>348089</v>
      </c>
      <c r="D4" s="125">
        <v>56359405</v>
      </c>
      <c r="E4" s="128">
        <v>207071</v>
      </c>
      <c r="F4" s="125">
        <v>41947020</v>
      </c>
      <c r="I4" s="124" t="s">
        <v>139</v>
      </c>
      <c r="J4" s="138">
        <v>3212</v>
      </c>
      <c r="K4" s="121">
        <v>2835303</v>
      </c>
    </row>
    <row r="5" spans="1:14" x14ac:dyDescent="0.3">
      <c r="A5" s="120"/>
      <c r="B5" s="124" t="s">
        <v>114</v>
      </c>
      <c r="C5" s="128">
        <v>19035.241627635321</v>
      </c>
      <c r="D5" s="125">
        <v>3082013.1982474551</v>
      </c>
      <c r="E5" s="128">
        <v>11323.674459911328</v>
      </c>
      <c r="F5" s="125">
        <v>2293872.1455123588</v>
      </c>
      <c r="I5" s="124" t="s">
        <v>140</v>
      </c>
      <c r="J5" s="138">
        <v>17790</v>
      </c>
      <c r="K5" s="121">
        <v>30610241</v>
      </c>
    </row>
    <row r="6" spans="1:14" x14ac:dyDescent="0.3">
      <c r="C6" s="57"/>
      <c r="D6" s="57"/>
      <c r="E6" s="57"/>
      <c r="F6" s="57"/>
      <c r="I6" s="124" t="s">
        <v>141</v>
      </c>
      <c r="J6" s="138">
        <v>7853</v>
      </c>
      <c r="K6" s="121">
        <v>60615347</v>
      </c>
    </row>
    <row r="7" spans="1:14" x14ac:dyDescent="0.3">
      <c r="C7" s="159" t="s">
        <v>124</v>
      </c>
      <c r="D7" s="159"/>
      <c r="E7" s="159" t="s">
        <v>125</v>
      </c>
      <c r="F7" s="159"/>
      <c r="I7" s="124" t="s">
        <v>142</v>
      </c>
      <c r="J7" s="138">
        <v>2859</v>
      </c>
      <c r="K7" s="121">
        <v>6075319</v>
      </c>
    </row>
    <row r="8" spans="1:14" x14ac:dyDescent="0.3">
      <c r="C8" s="123" t="s">
        <v>126</v>
      </c>
      <c r="D8" s="123" t="s">
        <v>123</v>
      </c>
      <c r="E8" s="123" t="s">
        <v>126</v>
      </c>
      <c r="F8" s="123" t="s">
        <v>123</v>
      </c>
      <c r="I8" s="124" t="s">
        <v>145</v>
      </c>
      <c r="J8" s="138">
        <v>1204563</v>
      </c>
      <c r="K8" s="121">
        <v>440516927</v>
      </c>
    </row>
    <row r="9" spans="1:14" x14ac:dyDescent="0.3">
      <c r="A9" s="122"/>
      <c r="B9" s="124" t="s">
        <v>31</v>
      </c>
      <c r="C9" s="128">
        <v>2278</v>
      </c>
      <c r="D9" s="125">
        <v>358580</v>
      </c>
      <c r="E9" s="128">
        <v>45095</v>
      </c>
      <c r="F9" s="125">
        <v>12072468</v>
      </c>
      <c r="I9" s="124" t="s">
        <v>31</v>
      </c>
      <c r="J9" s="138">
        <v>1236277</v>
      </c>
      <c r="K9" s="121">
        <v>540653137</v>
      </c>
    </row>
    <row r="10" spans="1:14" x14ac:dyDescent="0.3">
      <c r="A10" s="120"/>
      <c r="B10" s="124" t="s">
        <v>114</v>
      </c>
      <c r="C10" s="128">
        <v>124.5723950706666</v>
      </c>
      <c r="D10" s="125">
        <v>19608.941801773322</v>
      </c>
      <c r="E10" s="128">
        <v>2466.019383543332</v>
      </c>
      <c r="F10" s="125">
        <v>660182.72746882366</v>
      </c>
      <c r="J10" s="129"/>
    </row>
    <row r="11" spans="1:14" x14ac:dyDescent="0.3">
      <c r="D11" s="123" t="s">
        <v>127</v>
      </c>
      <c r="F11" s="123" t="s">
        <v>127</v>
      </c>
      <c r="I11" s="135" t="s">
        <v>138</v>
      </c>
      <c r="J11" s="139" t="s">
        <v>126</v>
      </c>
      <c r="K11" s="137" t="s">
        <v>143</v>
      </c>
    </row>
    <row r="12" spans="1:14" x14ac:dyDescent="0.3">
      <c r="D12" s="120">
        <v>66763.140655386596</v>
      </c>
      <c r="F12" s="120">
        <v>2247743.5415852913</v>
      </c>
      <c r="I12" s="124" t="s">
        <v>144</v>
      </c>
      <c r="J12" s="140">
        <v>31714</v>
      </c>
      <c r="K12" s="141">
        <v>100136210</v>
      </c>
    </row>
    <row r="13" spans="1:14" x14ac:dyDescent="0.3">
      <c r="I13" s="124" t="s">
        <v>145</v>
      </c>
      <c r="J13" s="138">
        <v>1204563</v>
      </c>
      <c r="K13" s="121">
        <v>440516927</v>
      </c>
    </row>
    <row r="14" spans="1:14" x14ac:dyDescent="0.3">
      <c r="C14" s="159" t="s">
        <v>124</v>
      </c>
      <c r="D14" s="159"/>
      <c r="E14" s="159" t="s">
        <v>125</v>
      </c>
      <c r="F14" s="159"/>
      <c r="I14" s="124" t="s">
        <v>31</v>
      </c>
      <c r="J14" s="138">
        <v>1236277</v>
      </c>
      <c r="K14" s="121">
        <v>540653137</v>
      </c>
    </row>
    <row r="15" spans="1:14" x14ac:dyDescent="0.3">
      <c r="C15" s="123" t="s">
        <v>126</v>
      </c>
      <c r="D15" s="123" t="s">
        <v>123</v>
      </c>
      <c r="E15" s="123" t="s">
        <v>126</v>
      </c>
      <c r="F15" s="123" t="s">
        <v>123</v>
      </c>
    </row>
    <row r="16" spans="1:14" x14ac:dyDescent="0.3">
      <c r="C16" s="128">
        <v>19159.814022705988</v>
      </c>
      <c r="D16" s="125">
        <v>3148776.3389028418</v>
      </c>
      <c r="E16" s="128">
        <v>13789.693843454661</v>
      </c>
      <c r="F16" s="125">
        <v>4541615.68709765</v>
      </c>
      <c r="I16" s="135" t="s">
        <v>147</v>
      </c>
      <c r="J16" s="139" t="s">
        <v>126</v>
      </c>
      <c r="K16" s="137" t="s">
        <v>143</v>
      </c>
      <c r="M16" s="139" t="s">
        <v>126</v>
      </c>
      <c r="N16" s="137" t="s">
        <v>143</v>
      </c>
    </row>
    <row r="17" spans="1:14" x14ac:dyDescent="0.3">
      <c r="I17" s="124" t="s">
        <v>148</v>
      </c>
      <c r="J17" s="138">
        <v>19159.814022705988</v>
      </c>
      <c r="K17" s="121">
        <v>3148776.3389028418</v>
      </c>
      <c r="M17" s="138">
        <v>1255436.8140227059</v>
      </c>
      <c r="N17" s="121">
        <v>543801913.33890283</v>
      </c>
    </row>
    <row r="18" spans="1:14" x14ac:dyDescent="0.3">
      <c r="C18" s="159" t="s">
        <v>129</v>
      </c>
      <c r="D18" s="159"/>
    </row>
    <row r="19" spans="1:14" x14ac:dyDescent="0.3">
      <c r="C19" s="123" t="s">
        <v>126</v>
      </c>
      <c r="D19" s="123" t="s">
        <v>123</v>
      </c>
      <c r="I19" s="135" t="s">
        <v>149</v>
      </c>
      <c r="J19" s="139" t="s">
        <v>126</v>
      </c>
      <c r="K19" s="137" t="s">
        <v>143</v>
      </c>
    </row>
    <row r="20" spans="1:14" x14ac:dyDescent="0.3">
      <c r="C20" s="128">
        <v>32949.507866160653</v>
      </c>
      <c r="D20" s="125">
        <v>7690392.0260004923</v>
      </c>
      <c r="I20" s="124" t="s">
        <v>150</v>
      </c>
      <c r="J20" s="138">
        <v>13789.693843454661</v>
      </c>
      <c r="K20" s="121">
        <v>4541615.68709765</v>
      </c>
    </row>
    <row r="21" spans="1:14" ht="11.25" customHeight="1" x14ac:dyDescent="0.3"/>
    <row r="22" spans="1:14" x14ac:dyDescent="0.3">
      <c r="C22" s="161" t="s">
        <v>131</v>
      </c>
      <c r="D22" s="161"/>
      <c r="E22" s="161"/>
      <c r="F22" s="161"/>
    </row>
    <row r="23" spans="1:14" x14ac:dyDescent="0.3">
      <c r="C23" s="159" t="s">
        <v>124</v>
      </c>
      <c r="D23" s="159"/>
      <c r="E23" s="159" t="s">
        <v>125</v>
      </c>
      <c r="F23" s="159"/>
    </row>
    <row r="24" spans="1:14" x14ac:dyDescent="0.3">
      <c r="C24" s="123" t="s">
        <v>126</v>
      </c>
      <c r="D24" s="123" t="s">
        <v>122</v>
      </c>
      <c r="E24" s="123" t="s">
        <v>126</v>
      </c>
      <c r="F24" s="123" t="s">
        <v>122</v>
      </c>
    </row>
    <row r="25" spans="1:14" x14ac:dyDescent="0.3">
      <c r="A25" s="122"/>
      <c r="B25" s="124" t="s">
        <v>31</v>
      </c>
      <c r="C25" s="128">
        <v>344193</v>
      </c>
      <c r="D25" s="125">
        <v>55582305</v>
      </c>
      <c r="E25" s="128">
        <v>29763</v>
      </c>
      <c r="F25" s="125">
        <v>10306300</v>
      </c>
    </row>
    <row r="26" spans="1:14" x14ac:dyDescent="0.3">
      <c r="A26" s="120"/>
      <c r="B26" s="124" t="s">
        <v>114</v>
      </c>
      <c r="C26" s="128">
        <v>18822.188927373991</v>
      </c>
      <c r="D26" s="125">
        <v>3039517.4966629883</v>
      </c>
      <c r="E26" s="128">
        <v>1627.5891986339991</v>
      </c>
      <c r="F26" s="125">
        <v>563599.8574700664</v>
      </c>
    </row>
    <row r="27" spans="1:14" ht="11.25" customHeight="1" x14ac:dyDescent="0.3">
      <c r="C27" s="129"/>
      <c r="D27" s="57"/>
      <c r="E27" s="57"/>
      <c r="F27" s="57"/>
    </row>
    <row r="28" spans="1:14" x14ac:dyDescent="0.3">
      <c r="C28" s="159" t="s">
        <v>124</v>
      </c>
      <c r="D28" s="159"/>
      <c r="E28" s="159" t="s">
        <v>125</v>
      </c>
      <c r="F28" s="159"/>
    </row>
    <row r="29" spans="1:14" x14ac:dyDescent="0.3">
      <c r="C29" s="123" t="s">
        <v>126</v>
      </c>
      <c r="D29" s="123" t="s">
        <v>123</v>
      </c>
      <c r="E29" s="123" t="s">
        <v>126</v>
      </c>
      <c r="F29" s="123" t="s">
        <v>123</v>
      </c>
    </row>
    <row r="30" spans="1:14" x14ac:dyDescent="0.3">
      <c r="A30" s="122"/>
      <c r="B30" s="124" t="s">
        <v>31</v>
      </c>
      <c r="C30" s="128">
        <v>2238</v>
      </c>
      <c r="D30" s="125">
        <v>350440</v>
      </c>
      <c r="E30" s="128">
        <v>27663</v>
      </c>
      <c r="F30" s="125">
        <v>7585387</v>
      </c>
    </row>
    <row r="31" spans="1:14" x14ac:dyDescent="0.3">
      <c r="A31" s="120"/>
      <c r="B31" s="124" t="s">
        <v>114</v>
      </c>
      <c r="C31" s="128">
        <v>122.38499568399993</v>
      </c>
      <c r="D31" s="125">
        <v>19163.806026586655</v>
      </c>
      <c r="E31" s="128">
        <v>1512.7507308339991</v>
      </c>
      <c r="F31" s="125">
        <v>414806.77178573242</v>
      </c>
    </row>
    <row r="32" spans="1:14" x14ac:dyDescent="0.3">
      <c r="D32" s="123" t="s">
        <v>127</v>
      </c>
      <c r="F32" s="123" t="s">
        <v>127</v>
      </c>
    </row>
    <row r="33" spans="1:6" x14ac:dyDescent="0.3">
      <c r="D33" s="120">
        <v>65247.573794616765</v>
      </c>
      <c r="F33" s="120">
        <v>1412304.8112179737</v>
      </c>
    </row>
    <row r="34" spans="1:6" ht="11.25" customHeight="1" x14ac:dyDescent="0.3"/>
    <row r="35" spans="1:6" x14ac:dyDescent="0.3">
      <c r="C35" s="159" t="s">
        <v>124</v>
      </c>
      <c r="D35" s="159"/>
      <c r="E35" s="159" t="s">
        <v>125</v>
      </c>
      <c r="F35" s="159"/>
    </row>
    <row r="36" spans="1:6" x14ac:dyDescent="0.3">
      <c r="C36" s="123" t="s">
        <v>126</v>
      </c>
      <c r="D36" s="123" t="s">
        <v>123</v>
      </c>
      <c r="E36" s="123" t="s">
        <v>126</v>
      </c>
      <c r="F36" s="123" t="s">
        <v>123</v>
      </c>
    </row>
    <row r="37" spans="1:6" x14ac:dyDescent="0.3">
      <c r="C37" s="128">
        <v>18944.573923057989</v>
      </c>
      <c r="D37" s="125">
        <v>3104765.0704576052</v>
      </c>
      <c r="E37" s="128">
        <v>3140.3399294679984</v>
      </c>
      <c r="F37" s="125">
        <v>1975904.6686880402</v>
      </c>
    </row>
    <row r="38" spans="1:6" ht="11.25" customHeight="1" x14ac:dyDescent="0.3"/>
    <row r="39" spans="1:6" x14ac:dyDescent="0.3">
      <c r="C39" s="159" t="s">
        <v>129</v>
      </c>
      <c r="D39" s="159"/>
    </row>
    <row r="40" spans="1:6" x14ac:dyDescent="0.3">
      <c r="C40" s="123" t="s">
        <v>126</v>
      </c>
      <c r="D40" s="123" t="s">
        <v>123</v>
      </c>
    </row>
    <row r="41" spans="1:6" x14ac:dyDescent="0.3">
      <c r="C41" s="128">
        <v>22084.913852525988</v>
      </c>
      <c r="D41" s="125">
        <v>5080669.7391456459</v>
      </c>
    </row>
    <row r="42" spans="1:6" ht="11.25" customHeight="1" x14ac:dyDescent="0.3"/>
    <row r="43" spans="1:6" x14ac:dyDescent="0.3">
      <c r="C43" s="160" t="s">
        <v>132</v>
      </c>
      <c r="D43" s="160"/>
      <c r="E43" s="160"/>
      <c r="F43" s="160"/>
    </row>
    <row r="44" spans="1:6" x14ac:dyDescent="0.3">
      <c r="C44" s="159" t="s">
        <v>124</v>
      </c>
      <c r="D44" s="159"/>
      <c r="E44" s="159" t="s">
        <v>125</v>
      </c>
      <c r="F44" s="159"/>
    </row>
    <row r="45" spans="1:6" x14ac:dyDescent="0.3">
      <c r="C45" s="123" t="s">
        <v>126</v>
      </c>
      <c r="D45" s="123" t="s">
        <v>122</v>
      </c>
      <c r="E45" s="123" t="s">
        <v>126</v>
      </c>
      <c r="F45" s="123" t="s">
        <v>122</v>
      </c>
    </row>
    <row r="46" spans="1:6" x14ac:dyDescent="0.3">
      <c r="A46" s="122"/>
      <c r="B46" s="124" t="s">
        <v>31</v>
      </c>
      <c r="C46" s="128">
        <v>3896</v>
      </c>
      <c r="D46" s="125">
        <v>777100</v>
      </c>
      <c r="E46" s="128">
        <v>177308</v>
      </c>
      <c r="F46" s="125">
        <v>31640720</v>
      </c>
    </row>
    <row r="47" spans="1:6" x14ac:dyDescent="0.3">
      <c r="A47" s="120"/>
      <c r="B47" s="124" t="s">
        <v>114</v>
      </c>
      <c r="C47" s="128">
        <v>213.05270026133323</v>
      </c>
      <c r="D47" s="125">
        <v>42495.701584466646</v>
      </c>
      <c r="E47" s="128">
        <v>9696.0852612773288</v>
      </c>
      <c r="F47" s="125">
        <v>1730272.2880422925</v>
      </c>
    </row>
    <row r="48" spans="1:6" ht="11.25" customHeight="1" x14ac:dyDescent="0.3">
      <c r="C48" s="57"/>
      <c r="D48" s="57"/>
      <c r="E48" s="57"/>
      <c r="F48" s="57"/>
    </row>
    <row r="49" spans="1:6" x14ac:dyDescent="0.3">
      <c r="C49" s="159" t="s">
        <v>124</v>
      </c>
      <c r="D49" s="159"/>
      <c r="E49" s="159" t="s">
        <v>125</v>
      </c>
      <c r="F49" s="159"/>
    </row>
    <row r="50" spans="1:6" x14ac:dyDescent="0.3">
      <c r="C50" s="123" t="s">
        <v>126</v>
      </c>
      <c r="D50" s="123" t="s">
        <v>123</v>
      </c>
      <c r="E50" s="123" t="s">
        <v>126</v>
      </c>
      <c r="F50" s="123" t="s">
        <v>123</v>
      </c>
    </row>
    <row r="51" spans="1:6" x14ac:dyDescent="0.3">
      <c r="A51" s="122"/>
      <c r="B51" s="124" t="s">
        <v>31</v>
      </c>
      <c r="C51" s="128">
        <v>40</v>
      </c>
      <c r="D51" s="125">
        <v>8140</v>
      </c>
      <c r="E51" s="128">
        <v>17432</v>
      </c>
      <c r="F51" s="125">
        <v>4487080</v>
      </c>
    </row>
    <row r="52" spans="1:6" x14ac:dyDescent="0.3">
      <c r="A52" s="120"/>
      <c r="B52" s="124" t="s">
        <v>114</v>
      </c>
      <c r="C52" s="128">
        <v>2.1873993866666654</v>
      </c>
      <c r="D52" s="125">
        <v>445.13577518666642</v>
      </c>
      <c r="E52" s="128">
        <v>953.26865270933286</v>
      </c>
      <c r="F52" s="125">
        <v>245375.90099810655</v>
      </c>
    </row>
    <row r="53" spans="1:6" x14ac:dyDescent="0.3">
      <c r="D53" s="123" t="s">
        <v>127</v>
      </c>
      <c r="F53" s="123" t="s">
        <v>127</v>
      </c>
    </row>
    <row r="54" spans="1:6" x14ac:dyDescent="0.3">
      <c r="D54" s="120">
        <v>1515.5668607698335</v>
      </c>
      <c r="F54" s="120">
        <v>835438.54417974269</v>
      </c>
    </row>
    <row r="55" spans="1:6" ht="11.25" customHeight="1" x14ac:dyDescent="0.3"/>
    <row r="56" spans="1:6" x14ac:dyDescent="0.3">
      <c r="C56" s="159" t="s">
        <v>124</v>
      </c>
      <c r="D56" s="159"/>
      <c r="E56" s="159" t="s">
        <v>125</v>
      </c>
      <c r="F56" s="159"/>
    </row>
    <row r="57" spans="1:6" x14ac:dyDescent="0.3">
      <c r="C57" s="123" t="s">
        <v>126</v>
      </c>
      <c r="D57" s="123" t="s">
        <v>123</v>
      </c>
      <c r="E57" s="123" t="s">
        <v>126</v>
      </c>
      <c r="F57" s="123" t="s">
        <v>123</v>
      </c>
    </row>
    <row r="58" spans="1:6" x14ac:dyDescent="0.3">
      <c r="C58" s="128">
        <v>215.2400996479999</v>
      </c>
      <c r="D58" s="125">
        <v>44011.268445236477</v>
      </c>
      <c r="E58" s="128">
        <v>10649.353913986663</v>
      </c>
      <c r="F58" s="125">
        <v>2565710.8322220352</v>
      </c>
    </row>
    <row r="59" spans="1:6" ht="11.25" customHeight="1" x14ac:dyDescent="0.3"/>
    <row r="60" spans="1:6" x14ac:dyDescent="0.3">
      <c r="C60" s="159" t="s">
        <v>129</v>
      </c>
      <c r="D60" s="159"/>
    </row>
    <row r="61" spans="1:6" x14ac:dyDescent="0.3">
      <c r="C61" s="123" t="s">
        <v>126</v>
      </c>
      <c r="D61" s="123" t="s">
        <v>123</v>
      </c>
    </row>
    <row r="62" spans="1:6" x14ac:dyDescent="0.3">
      <c r="C62" s="128">
        <v>10864.594013634662</v>
      </c>
      <c r="D62" s="125">
        <v>2609722.1006672718</v>
      </c>
    </row>
  </sheetData>
  <mergeCells count="24">
    <mergeCell ref="C1:F1"/>
    <mergeCell ref="C7:D7"/>
    <mergeCell ref="E7:F7"/>
    <mergeCell ref="C18:D18"/>
    <mergeCell ref="C14:D14"/>
    <mergeCell ref="E14:F14"/>
    <mergeCell ref="C2:D2"/>
    <mergeCell ref="E2:F2"/>
    <mergeCell ref="C22:F22"/>
    <mergeCell ref="C23:D23"/>
    <mergeCell ref="E23:F23"/>
    <mergeCell ref="C28:D28"/>
    <mergeCell ref="E28:F28"/>
    <mergeCell ref="C35:D35"/>
    <mergeCell ref="E35:F35"/>
    <mergeCell ref="C39:D39"/>
    <mergeCell ref="C43:F43"/>
    <mergeCell ref="C44:D44"/>
    <mergeCell ref="E44:F44"/>
    <mergeCell ref="C49:D49"/>
    <mergeCell ref="E49:F49"/>
    <mergeCell ref="C56:D56"/>
    <mergeCell ref="E56:F56"/>
    <mergeCell ref="C60:D60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</sheetPr>
  <dimension ref="A1:N68"/>
  <sheetViews>
    <sheetView zoomScale="80" zoomScaleNormal="80" workbookViewId="0">
      <pane xSplit="2" ySplit="2" topLeftCell="H3" activePane="bottomRight" state="frozen"/>
      <selection activeCell="I1" sqref="I1:K68"/>
      <selection pane="topRight" activeCell="I1" sqref="I1:K68"/>
      <selection pane="bottomLeft" activeCell="I1" sqref="I1:K68"/>
      <selection pane="bottomRight" activeCell="Q22" sqref="Q22"/>
    </sheetView>
  </sheetViews>
  <sheetFormatPr baseColWidth="10" defaultColWidth="11.44140625" defaultRowHeight="14.4" x14ac:dyDescent="0.3"/>
  <cols>
    <col min="1" max="1" width="40.6640625" style="63" customWidth="1"/>
    <col min="2" max="2" width="53.6640625" style="63" customWidth="1"/>
    <col min="3" max="4" width="17.5546875" style="63" customWidth="1"/>
    <col min="5" max="5" width="17.5546875" style="103" customWidth="1"/>
    <col min="6" max="7" width="17.5546875" style="109" customWidth="1"/>
    <col min="8" max="8" width="17.5546875" style="92" customWidth="1"/>
    <col min="9" max="10" width="15.6640625" style="147" customWidth="1"/>
    <col min="11" max="11" width="15.6640625" style="148" customWidth="1"/>
    <col min="12" max="13" width="15.6640625" style="151" customWidth="1"/>
    <col min="14" max="14" width="15.6640625" style="155" customWidth="1"/>
    <col min="15" max="16384" width="11.44140625" style="109"/>
  </cols>
  <sheetData>
    <row r="1" spans="1:14" x14ac:dyDescent="0.3">
      <c r="A1" s="72" t="s">
        <v>36</v>
      </c>
      <c r="B1" s="75" t="s">
        <v>35</v>
      </c>
      <c r="C1" s="109"/>
      <c r="D1" s="109"/>
      <c r="E1" s="92"/>
    </row>
    <row r="2" spans="1:14" x14ac:dyDescent="0.3">
      <c r="A2" s="69" t="s">
        <v>54</v>
      </c>
      <c r="B2" s="69" t="s">
        <v>29</v>
      </c>
      <c r="C2" s="163" t="s">
        <v>39</v>
      </c>
      <c r="D2" s="163"/>
      <c r="E2" s="163"/>
      <c r="F2" s="163" t="s">
        <v>40</v>
      </c>
      <c r="G2" s="163"/>
      <c r="H2" s="163"/>
      <c r="I2" s="164" t="s">
        <v>41</v>
      </c>
      <c r="J2" s="164"/>
      <c r="K2" s="164"/>
      <c r="L2" s="164" t="s">
        <v>176</v>
      </c>
      <c r="M2" s="164"/>
      <c r="N2" s="164"/>
    </row>
    <row r="3" spans="1:14" x14ac:dyDescent="0.3">
      <c r="A3" s="91"/>
      <c r="B3" s="76" t="s">
        <v>42</v>
      </c>
      <c r="C3" s="66"/>
      <c r="D3" s="68" t="s">
        <v>37</v>
      </c>
      <c r="E3" s="93" t="s">
        <v>38</v>
      </c>
      <c r="F3" s="66"/>
      <c r="G3" s="68" t="s">
        <v>37</v>
      </c>
      <c r="H3" s="93" t="s">
        <v>38</v>
      </c>
      <c r="J3" s="115" t="s">
        <v>37</v>
      </c>
      <c r="K3" s="149" t="s">
        <v>38</v>
      </c>
      <c r="M3" s="151" t="s">
        <v>37</v>
      </c>
      <c r="N3" s="155" t="s">
        <v>38</v>
      </c>
    </row>
    <row r="4" spans="1:14" x14ac:dyDescent="0.3">
      <c r="A4" s="91"/>
      <c r="B4" s="67" t="s">
        <v>45</v>
      </c>
      <c r="C4" s="66"/>
      <c r="D4" s="70">
        <v>0</v>
      </c>
      <c r="E4" s="94">
        <v>0</v>
      </c>
      <c r="F4" s="66"/>
      <c r="G4" s="70">
        <v>0</v>
      </c>
      <c r="H4" s="98">
        <v>0</v>
      </c>
    </row>
    <row r="5" spans="1:14" ht="28.8" x14ac:dyDescent="0.3">
      <c r="A5" s="130"/>
      <c r="B5" s="67" t="s">
        <v>77</v>
      </c>
      <c r="C5" s="66"/>
      <c r="D5" s="70">
        <v>0</v>
      </c>
      <c r="E5" s="131">
        <v>0</v>
      </c>
      <c r="F5" s="66"/>
      <c r="G5" s="70">
        <v>0</v>
      </c>
      <c r="H5" s="98">
        <v>0</v>
      </c>
    </row>
    <row r="6" spans="1:14" ht="28.8" x14ac:dyDescent="0.3">
      <c r="A6" s="130" t="s">
        <v>133</v>
      </c>
      <c r="B6" s="67" t="s">
        <v>46</v>
      </c>
      <c r="C6" s="66"/>
      <c r="D6" s="70">
        <v>29643</v>
      </c>
      <c r="E6" s="131">
        <v>3107651</v>
      </c>
      <c r="F6" s="66"/>
      <c r="G6" s="83">
        <v>28707</v>
      </c>
      <c r="H6" s="117">
        <v>3085780</v>
      </c>
      <c r="J6" s="105">
        <v>27471</v>
      </c>
      <c r="K6" s="150">
        <v>2905396</v>
      </c>
      <c r="M6" s="116">
        <v>22687</v>
      </c>
      <c r="N6" s="156">
        <v>2318407</v>
      </c>
    </row>
    <row r="7" spans="1:14" ht="28.8" x14ac:dyDescent="0.3">
      <c r="A7" s="130" t="s">
        <v>135</v>
      </c>
      <c r="B7" s="67" t="s">
        <v>47</v>
      </c>
      <c r="C7" s="66"/>
      <c r="D7" s="70">
        <v>2207</v>
      </c>
      <c r="E7" s="131">
        <v>379750</v>
      </c>
      <c r="F7" s="66"/>
      <c r="G7" s="83">
        <v>2461</v>
      </c>
      <c r="H7" s="117">
        <v>408909</v>
      </c>
      <c r="J7" s="105">
        <v>2177</v>
      </c>
      <c r="K7" s="150">
        <v>344825</v>
      </c>
      <c r="M7" s="116">
        <v>1812</v>
      </c>
      <c r="N7" s="156">
        <v>270717</v>
      </c>
    </row>
    <row r="8" spans="1:14" x14ac:dyDescent="0.3">
      <c r="A8" s="130"/>
      <c r="B8" s="67" t="s">
        <v>48</v>
      </c>
      <c r="C8" s="66"/>
      <c r="D8" s="70">
        <f>SUM(D4:D7)</f>
        <v>31850</v>
      </c>
      <c r="E8" s="131">
        <f>SUM(E4:E7)</f>
        <v>3487401</v>
      </c>
      <c r="F8" s="66"/>
      <c r="G8" s="83">
        <f>SUM(G4:G7)</f>
        <v>31168</v>
      </c>
      <c r="H8" s="117">
        <f>SUM(H4:H7)</f>
        <v>3494689</v>
      </c>
      <c r="J8" s="105">
        <f>SUM(J4:J7)</f>
        <v>29648</v>
      </c>
      <c r="K8" s="150">
        <f>SUM(K4:K7)</f>
        <v>3250221</v>
      </c>
      <c r="M8" s="116">
        <f>SUM(M4:M7)</f>
        <v>24499</v>
      </c>
      <c r="N8" s="156">
        <f>SUM(N4:N7)</f>
        <v>2589124</v>
      </c>
    </row>
    <row r="9" spans="1:14" x14ac:dyDescent="0.3">
      <c r="A9" s="91"/>
      <c r="B9" s="76" t="s">
        <v>43</v>
      </c>
      <c r="C9" s="66"/>
      <c r="D9" s="68" t="s">
        <v>37</v>
      </c>
      <c r="E9" s="93" t="s">
        <v>38</v>
      </c>
      <c r="F9" s="66"/>
      <c r="G9" s="68" t="s">
        <v>37</v>
      </c>
      <c r="H9" s="93" t="s">
        <v>38</v>
      </c>
      <c r="J9" s="115" t="s">
        <v>37</v>
      </c>
      <c r="K9" s="149" t="s">
        <v>38</v>
      </c>
      <c r="M9" s="151" t="s">
        <v>37</v>
      </c>
      <c r="N9" s="155" t="s">
        <v>38</v>
      </c>
    </row>
    <row r="10" spans="1:14" ht="28.8" x14ac:dyDescent="0.3">
      <c r="A10" s="91" t="s">
        <v>57</v>
      </c>
      <c r="B10" s="78"/>
      <c r="C10" s="67"/>
      <c r="D10" s="74">
        <v>1614</v>
      </c>
      <c r="E10" s="95">
        <v>2158535</v>
      </c>
      <c r="F10" s="67"/>
      <c r="G10" s="81">
        <v>1447</v>
      </c>
      <c r="H10" s="118">
        <v>2179210</v>
      </c>
      <c r="J10" s="147">
        <v>1475</v>
      </c>
      <c r="K10" s="148">
        <v>2253524</v>
      </c>
      <c r="M10" s="151">
        <v>1253</v>
      </c>
      <c r="N10" s="155">
        <v>1883053</v>
      </c>
    </row>
    <row r="11" spans="1:14" ht="28.8" x14ac:dyDescent="0.3">
      <c r="A11" s="130" t="s">
        <v>134</v>
      </c>
      <c r="B11" s="78"/>
      <c r="C11" s="67"/>
      <c r="D11" s="74">
        <v>3216</v>
      </c>
      <c r="E11" s="132">
        <v>1502627</v>
      </c>
      <c r="F11" s="67"/>
      <c r="G11" s="81">
        <v>2795</v>
      </c>
      <c r="H11" s="118">
        <v>1317493</v>
      </c>
      <c r="J11" s="147">
        <v>2595</v>
      </c>
      <c r="K11" s="148">
        <v>1209685</v>
      </c>
      <c r="M11" s="151">
        <v>1959</v>
      </c>
      <c r="N11" s="155">
        <v>952250</v>
      </c>
    </row>
    <row r="12" spans="1:14" ht="28.8" x14ac:dyDescent="0.3">
      <c r="A12" s="130" t="s">
        <v>53</v>
      </c>
      <c r="B12" s="78"/>
      <c r="C12" s="67"/>
      <c r="D12" s="74">
        <v>290</v>
      </c>
      <c r="E12" s="132">
        <v>64765</v>
      </c>
      <c r="F12" s="67"/>
      <c r="G12" s="81">
        <v>261</v>
      </c>
      <c r="H12" s="118">
        <v>54930</v>
      </c>
      <c r="J12" s="147">
        <v>242</v>
      </c>
      <c r="K12" s="148">
        <v>60220</v>
      </c>
      <c r="M12" s="151">
        <v>169</v>
      </c>
      <c r="N12" s="155">
        <v>48662</v>
      </c>
    </row>
    <row r="13" spans="1:14" ht="28.8" x14ac:dyDescent="0.3">
      <c r="A13" s="91" t="s">
        <v>55</v>
      </c>
      <c r="B13" s="78"/>
      <c r="C13" s="67"/>
      <c r="D13" s="74">
        <v>58</v>
      </c>
      <c r="E13" s="95">
        <v>14376</v>
      </c>
      <c r="F13" s="67"/>
      <c r="G13" s="81">
        <v>20</v>
      </c>
      <c r="H13" s="118">
        <v>4532</v>
      </c>
      <c r="J13" s="147">
        <v>28</v>
      </c>
      <c r="K13" s="148">
        <v>4146</v>
      </c>
      <c r="M13" s="151">
        <v>22</v>
      </c>
      <c r="N13" s="155">
        <v>1376</v>
      </c>
    </row>
    <row r="14" spans="1:14" ht="43.2" x14ac:dyDescent="0.3">
      <c r="A14" s="91" t="s">
        <v>52</v>
      </c>
      <c r="B14" s="82" t="s">
        <v>45</v>
      </c>
      <c r="C14" s="66"/>
      <c r="D14" s="83">
        <f>D10+D11</f>
        <v>4830</v>
      </c>
      <c r="E14" s="94">
        <f>E10+E11</f>
        <v>3661162</v>
      </c>
      <c r="F14" s="66"/>
      <c r="G14" s="83">
        <f>G10+G11</f>
        <v>4242</v>
      </c>
      <c r="H14" s="117">
        <f>H10+H11</f>
        <v>3496703</v>
      </c>
      <c r="J14" s="105">
        <v>4070</v>
      </c>
      <c r="K14" s="150">
        <v>3463209</v>
      </c>
      <c r="M14" s="116">
        <v>3212</v>
      </c>
      <c r="N14" s="156">
        <v>2835303</v>
      </c>
    </row>
    <row r="15" spans="1:14" ht="28.8" x14ac:dyDescent="0.3">
      <c r="A15" s="130"/>
      <c r="B15" s="67" t="s">
        <v>77</v>
      </c>
      <c r="C15" s="66"/>
      <c r="D15" s="83">
        <v>0</v>
      </c>
      <c r="E15" s="131">
        <v>0</v>
      </c>
      <c r="F15" s="66"/>
      <c r="G15" s="83">
        <v>0</v>
      </c>
      <c r="H15" s="117">
        <v>0</v>
      </c>
    </row>
    <row r="16" spans="1:14" ht="28.8" x14ac:dyDescent="0.3">
      <c r="A16" s="130" t="s">
        <v>53</v>
      </c>
      <c r="B16" s="67" t="s">
        <v>46</v>
      </c>
      <c r="C16" s="66"/>
      <c r="D16" s="83">
        <f>D12</f>
        <v>290</v>
      </c>
      <c r="E16" s="131">
        <f>E12</f>
        <v>64765</v>
      </c>
      <c r="F16" s="66"/>
      <c r="G16" s="83">
        <f>G12</f>
        <v>261</v>
      </c>
      <c r="H16" s="117">
        <f>H12</f>
        <v>54930</v>
      </c>
      <c r="J16" s="105">
        <v>242</v>
      </c>
      <c r="K16" s="150">
        <v>60220</v>
      </c>
      <c r="M16" s="116">
        <v>169</v>
      </c>
      <c r="N16" s="156">
        <v>48662</v>
      </c>
    </row>
    <row r="17" spans="1:14" ht="28.8" x14ac:dyDescent="0.3">
      <c r="A17" s="91" t="s">
        <v>55</v>
      </c>
      <c r="B17" s="67" t="s">
        <v>47</v>
      </c>
      <c r="C17" s="66"/>
      <c r="D17" s="70">
        <f>D13</f>
        <v>58</v>
      </c>
      <c r="E17" s="94">
        <f>E13</f>
        <v>14376</v>
      </c>
      <c r="F17" s="66"/>
      <c r="G17" s="83">
        <f>G13</f>
        <v>20</v>
      </c>
      <c r="H17" s="117">
        <f>H13</f>
        <v>4532</v>
      </c>
      <c r="J17" s="105">
        <v>28</v>
      </c>
      <c r="K17" s="150">
        <v>4146</v>
      </c>
      <c r="M17" s="116">
        <v>22</v>
      </c>
      <c r="N17" s="156">
        <v>1376</v>
      </c>
    </row>
    <row r="18" spans="1:14" x14ac:dyDescent="0.3">
      <c r="A18" s="91"/>
      <c r="B18" s="67" t="s">
        <v>49</v>
      </c>
      <c r="C18" s="66"/>
      <c r="D18" s="70">
        <f>SUM(D14:D17)</f>
        <v>5178</v>
      </c>
      <c r="E18" s="94">
        <f>SUM(E14:E17)</f>
        <v>3740303</v>
      </c>
      <c r="F18" s="66"/>
      <c r="G18" s="83">
        <f>SUM(G14:G17)</f>
        <v>4523</v>
      </c>
      <c r="H18" s="117">
        <f>SUM(H14:H17)</f>
        <v>3556165</v>
      </c>
      <c r="J18" s="105">
        <f>SUM(J14:J17)</f>
        <v>4340</v>
      </c>
      <c r="K18" s="150">
        <f>SUM(K14:K17)</f>
        <v>3527575</v>
      </c>
      <c r="M18" s="116">
        <f>SUM(M14:M17)</f>
        <v>3403</v>
      </c>
      <c r="N18" s="156">
        <f>SUM(N14:N17)</f>
        <v>2885341</v>
      </c>
    </row>
    <row r="19" spans="1:14" x14ac:dyDescent="0.3">
      <c r="A19" s="130"/>
      <c r="B19" s="71" t="s">
        <v>44</v>
      </c>
      <c r="C19" s="66"/>
      <c r="D19" s="66"/>
      <c r="E19" s="133"/>
      <c r="F19" s="66"/>
      <c r="G19" s="66"/>
      <c r="H19" s="97"/>
    </row>
    <row r="20" spans="1:14" ht="57.6" x14ac:dyDescent="0.3">
      <c r="A20" s="130" t="s">
        <v>56</v>
      </c>
      <c r="B20" s="67" t="s">
        <v>50</v>
      </c>
      <c r="C20" s="66"/>
      <c r="D20" s="70">
        <f>D11+D12+D13</f>
        <v>3564</v>
      </c>
      <c r="E20" s="131">
        <f>E11+E12+E13</f>
        <v>1581768</v>
      </c>
      <c r="F20" s="66"/>
      <c r="G20" s="83">
        <f>G11+G12+G13</f>
        <v>3076</v>
      </c>
      <c r="H20" s="117">
        <f>H11+H12+H13</f>
        <v>1376955</v>
      </c>
      <c r="J20" s="105">
        <v>2865</v>
      </c>
      <c r="K20" s="150">
        <v>1274051</v>
      </c>
      <c r="M20" s="116">
        <v>2150</v>
      </c>
      <c r="N20" s="156">
        <v>1002288</v>
      </c>
    </row>
    <row r="21" spans="1:14" ht="28.8" x14ac:dyDescent="0.3">
      <c r="A21" s="91" t="s">
        <v>57</v>
      </c>
      <c r="B21" s="67" t="s">
        <v>51</v>
      </c>
      <c r="C21" s="66"/>
      <c r="D21" s="70">
        <f>D10</f>
        <v>1614</v>
      </c>
      <c r="E21" s="98">
        <f>E10</f>
        <v>2158535</v>
      </c>
      <c r="F21" s="66"/>
      <c r="G21" s="83">
        <f>G10</f>
        <v>1447</v>
      </c>
      <c r="H21" s="117">
        <f>H10</f>
        <v>2179210</v>
      </c>
      <c r="J21" s="105">
        <v>1475</v>
      </c>
      <c r="K21" s="150">
        <v>2253524</v>
      </c>
      <c r="M21" s="116">
        <v>1253</v>
      </c>
      <c r="N21" s="156">
        <v>1883053</v>
      </c>
    </row>
    <row r="22" spans="1:14" x14ac:dyDescent="0.3">
      <c r="A22" s="91"/>
      <c r="B22" s="76" t="s">
        <v>58</v>
      </c>
      <c r="C22" s="66"/>
      <c r="D22" s="68" t="s">
        <v>37</v>
      </c>
      <c r="E22" s="93" t="s">
        <v>38</v>
      </c>
      <c r="F22" s="66"/>
      <c r="G22" s="68" t="s">
        <v>37</v>
      </c>
      <c r="H22" s="93" t="s">
        <v>38</v>
      </c>
      <c r="J22" s="115" t="s">
        <v>37</v>
      </c>
      <c r="K22" s="149" t="s">
        <v>38</v>
      </c>
      <c r="M22" s="151" t="s">
        <v>37</v>
      </c>
      <c r="N22" s="155" t="s">
        <v>38</v>
      </c>
    </row>
    <row r="23" spans="1:14" x14ac:dyDescent="0.3">
      <c r="A23" s="130"/>
      <c r="B23" s="67" t="s">
        <v>45</v>
      </c>
      <c r="C23" s="66"/>
      <c r="D23" s="66"/>
      <c r="E23" s="133"/>
      <c r="F23" s="66"/>
      <c r="G23" s="66"/>
      <c r="H23" s="97"/>
    </row>
    <row r="24" spans="1:14" ht="28.8" x14ac:dyDescent="0.3">
      <c r="A24" s="130"/>
      <c r="B24" s="67" t="s">
        <v>77</v>
      </c>
      <c r="C24" s="66"/>
      <c r="D24" s="66"/>
      <c r="E24" s="131"/>
      <c r="F24" s="66"/>
      <c r="G24" s="66"/>
      <c r="H24" s="97"/>
    </row>
    <row r="25" spans="1:14" x14ac:dyDescent="0.3">
      <c r="A25" s="91"/>
      <c r="B25" s="63" t="s">
        <v>46</v>
      </c>
      <c r="C25" s="64"/>
      <c r="D25" s="64"/>
      <c r="E25" s="97"/>
      <c r="F25" s="64"/>
      <c r="G25" s="64"/>
      <c r="H25" s="97"/>
    </row>
    <row r="26" spans="1:14" x14ac:dyDescent="0.3">
      <c r="A26" s="91"/>
      <c r="B26" s="63" t="s">
        <v>47</v>
      </c>
      <c r="C26" s="64"/>
      <c r="D26" s="64"/>
      <c r="E26" s="97"/>
      <c r="F26" s="64"/>
      <c r="G26" s="64"/>
      <c r="H26" s="97"/>
    </row>
    <row r="27" spans="1:14" x14ac:dyDescent="0.3">
      <c r="A27" s="91"/>
      <c r="B27" s="63" t="s">
        <v>60</v>
      </c>
      <c r="C27" s="64"/>
      <c r="D27" s="64"/>
      <c r="E27" s="97"/>
      <c r="F27" s="64"/>
      <c r="G27" s="64"/>
      <c r="H27" s="97"/>
    </row>
    <row r="28" spans="1:14" x14ac:dyDescent="0.3">
      <c r="A28" s="91"/>
      <c r="B28" s="77" t="s">
        <v>59</v>
      </c>
      <c r="C28" s="65" t="s">
        <v>30</v>
      </c>
      <c r="D28" s="65" t="s">
        <v>72</v>
      </c>
      <c r="E28" s="93" t="s">
        <v>31</v>
      </c>
      <c r="F28" s="65" t="s">
        <v>30</v>
      </c>
      <c r="G28" s="65" t="s">
        <v>72</v>
      </c>
      <c r="H28" s="93" t="s">
        <v>31</v>
      </c>
      <c r="I28" s="115" t="s">
        <v>30</v>
      </c>
      <c r="J28" s="115" t="s">
        <v>72</v>
      </c>
      <c r="K28" s="149" t="s">
        <v>31</v>
      </c>
      <c r="L28" s="151" t="s">
        <v>30</v>
      </c>
      <c r="M28" s="151" t="s">
        <v>72</v>
      </c>
      <c r="N28" s="155" t="s">
        <v>31</v>
      </c>
    </row>
    <row r="29" spans="1:14" x14ac:dyDescent="0.3">
      <c r="A29" s="91"/>
      <c r="B29" s="63" t="s">
        <v>61</v>
      </c>
      <c r="C29" s="73">
        <v>10751</v>
      </c>
      <c r="D29" s="73">
        <v>237</v>
      </c>
      <c r="E29" s="98">
        <v>10988</v>
      </c>
      <c r="F29" s="104">
        <f>C40</f>
        <v>7624</v>
      </c>
      <c r="G29" s="104">
        <f>D40</f>
        <v>954</v>
      </c>
      <c r="H29" s="117">
        <f>E40</f>
        <v>8578</v>
      </c>
      <c r="I29" s="105">
        <f t="shared" ref="I29:N29" si="0">F34</f>
        <v>7634</v>
      </c>
      <c r="J29" s="105">
        <f t="shared" si="0"/>
        <v>190</v>
      </c>
      <c r="K29" s="150">
        <f t="shared" si="0"/>
        <v>7824</v>
      </c>
      <c r="L29" s="116">
        <f t="shared" si="0"/>
        <v>5864</v>
      </c>
      <c r="M29" s="116">
        <f t="shared" si="0"/>
        <v>201</v>
      </c>
      <c r="N29" s="156">
        <f t="shared" si="0"/>
        <v>6065</v>
      </c>
    </row>
    <row r="30" spans="1:14" x14ac:dyDescent="0.3">
      <c r="A30" s="91" t="s">
        <v>98</v>
      </c>
      <c r="B30" s="63" t="s">
        <v>62</v>
      </c>
      <c r="C30" s="110"/>
      <c r="D30" s="110"/>
      <c r="E30" s="84">
        <v>4</v>
      </c>
      <c r="F30" s="110"/>
      <c r="G30" s="110"/>
      <c r="H30" s="119">
        <v>2</v>
      </c>
      <c r="K30" s="150">
        <v>0</v>
      </c>
      <c r="N30" s="156">
        <v>1</v>
      </c>
    </row>
    <row r="31" spans="1:14" x14ac:dyDescent="0.3">
      <c r="A31" s="91"/>
      <c r="B31" s="63" t="s">
        <v>63</v>
      </c>
      <c r="C31" s="110"/>
      <c r="D31" s="110"/>
      <c r="E31" s="84"/>
      <c r="F31" s="110"/>
      <c r="G31" s="110"/>
      <c r="H31" s="84"/>
    </row>
    <row r="32" spans="1:14" ht="28.8" x14ac:dyDescent="0.3">
      <c r="A32" s="91" t="s">
        <v>68</v>
      </c>
      <c r="C32" s="110"/>
      <c r="D32" s="110"/>
      <c r="E32" s="84">
        <v>8578</v>
      </c>
      <c r="F32" s="110"/>
      <c r="G32" s="110"/>
      <c r="H32" s="119">
        <v>7824</v>
      </c>
      <c r="K32" s="148">
        <v>6065</v>
      </c>
      <c r="N32" s="155">
        <v>5702</v>
      </c>
    </row>
    <row r="33" spans="1:14" ht="28.8" x14ac:dyDescent="0.3">
      <c r="A33" s="91" t="s">
        <v>69</v>
      </c>
      <c r="C33" s="110"/>
      <c r="D33" s="110"/>
      <c r="E33" s="84">
        <v>0</v>
      </c>
      <c r="F33" s="110"/>
      <c r="G33" s="110"/>
      <c r="H33" s="119">
        <v>0</v>
      </c>
    </row>
    <row r="34" spans="1:14" ht="43.2" x14ac:dyDescent="0.3">
      <c r="A34" s="91" t="s">
        <v>73</v>
      </c>
      <c r="B34" s="63" t="s">
        <v>64</v>
      </c>
      <c r="C34" s="110">
        <f>E34-D34</f>
        <v>7624</v>
      </c>
      <c r="D34" s="110">
        <v>954</v>
      </c>
      <c r="E34" s="84">
        <f>SUM(E32:E33)</f>
        <v>8578</v>
      </c>
      <c r="F34" s="105">
        <f>H34-G34</f>
        <v>7634</v>
      </c>
      <c r="G34" s="105">
        <v>190</v>
      </c>
      <c r="H34" s="119">
        <f>SUM(H32:H33)</f>
        <v>7824</v>
      </c>
      <c r="I34" s="105">
        <f>K34-J34</f>
        <v>5864</v>
      </c>
      <c r="J34" s="105">
        <v>201</v>
      </c>
      <c r="K34" s="150">
        <f>SUM(K32:K33)</f>
        <v>6065</v>
      </c>
      <c r="L34" s="116">
        <f>N34-M34</f>
        <v>5519</v>
      </c>
      <c r="M34" s="116">
        <v>183</v>
      </c>
      <c r="N34" s="156">
        <f>SUM(N32:N33)</f>
        <v>5702</v>
      </c>
    </row>
    <row r="35" spans="1:14" ht="28.8" x14ac:dyDescent="0.3">
      <c r="A35" s="91" t="s">
        <v>96</v>
      </c>
      <c r="C35" s="110"/>
      <c r="D35" s="110"/>
      <c r="E35" s="84">
        <v>7273</v>
      </c>
      <c r="F35" s="110"/>
      <c r="G35" s="110"/>
      <c r="H35" s="119">
        <v>6794</v>
      </c>
      <c r="K35" s="148">
        <v>2164</v>
      </c>
      <c r="N35" s="155">
        <v>1722</v>
      </c>
    </row>
    <row r="36" spans="1:14" ht="28.8" x14ac:dyDescent="0.3">
      <c r="A36" s="91" t="s">
        <v>97</v>
      </c>
      <c r="C36" s="110"/>
      <c r="D36" s="110"/>
      <c r="E36" s="84">
        <v>2</v>
      </c>
      <c r="F36" s="110"/>
      <c r="G36" s="110"/>
      <c r="H36" s="119">
        <v>2</v>
      </c>
    </row>
    <row r="37" spans="1:14" ht="28.8" x14ac:dyDescent="0.3">
      <c r="A37" s="91"/>
      <c r="B37" s="63" t="s">
        <v>78</v>
      </c>
      <c r="C37" s="110"/>
      <c r="D37" s="110"/>
      <c r="E37" s="84">
        <f>SUM(E35:E36)</f>
        <v>7275</v>
      </c>
      <c r="F37" s="110"/>
      <c r="G37" s="110"/>
      <c r="H37" s="119">
        <f>SUM(H35:H36)</f>
        <v>6796</v>
      </c>
      <c r="K37" s="150">
        <f>SUM(K35:K36)</f>
        <v>2164</v>
      </c>
      <c r="N37" s="156">
        <f>SUM(N35:N36)</f>
        <v>1722</v>
      </c>
    </row>
    <row r="38" spans="1:14" ht="28.8" x14ac:dyDescent="0.3">
      <c r="A38" s="91" t="s">
        <v>70</v>
      </c>
      <c r="C38" s="110"/>
      <c r="D38" s="110"/>
      <c r="E38" s="84">
        <v>0</v>
      </c>
      <c r="F38" s="110"/>
      <c r="G38" s="110"/>
      <c r="H38" s="119">
        <v>8128</v>
      </c>
      <c r="K38" s="148">
        <v>6339</v>
      </c>
      <c r="N38" s="155">
        <v>5961</v>
      </c>
    </row>
    <row r="39" spans="1:14" ht="28.8" x14ac:dyDescent="0.3">
      <c r="A39" s="130" t="s">
        <v>71</v>
      </c>
      <c r="B39" s="130"/>
      <c r="C39" s="127"/>
      <c r="D39" s="110"/>
      <c r="E39" s="84">
        <v>0</v>
      </c>
      <c r="F39" s="110"/>
      <c r="G39" s="110"/>
      <c r="H39" s="119">
        <v>0</v>
      </c>
    </row>
    <row r="40" spans="1:14" ht="43.2" x14ac:dyDescent="0.3">
      <c r="A40" s="91" t="s">
        <v>99</v>
      </c>
      <c r="B40" s="63" t="s">
        <v>65</v>
      </c>
      <c r="C40" s="110">
        <f>E40-D40</f>
        <v>7624</v>
      </c>
      <c r="D40" s="110">
        <f>D34</f>
        <v>954</v>
      </c>
      <c r="E40" s="84">
        <f>E34</f>
        <v>8578</v>
      </c>
      <c r="F40" s="105">
        <f>H40-G40</f>
        <v>8067</v>
      </c>
      <c r="G40" s="105">
        <v>61</v>
      </c>
      <c r="H40" s="119">
        <f>SUM(H38:H39)</f>
        <v>8128</v>
      </c>
      <c r="I40" s="105">
        <f>K40-J40</f>
        <v>6297</v>
      </c>
      <c r="J40" s="105">
        <v>42</v>
      </c>
      <c r="K40" s="150">
        <f>SUM(K38:K39)</f>
        <v>6339</v>
      </c>
      <c r="L40" s="116">
        <f>N40-M40</f>
        <v>5921</v>
      </c>
      <c r="M40" s="116">
        <v>40</v>
      </c>
      <c r="N40" s="156">
        <f>SUM(N38:N39)</f>
        <v>5961</v>
      </c>
    </row>
    <row r="41" spans="1:14" x14ac:dyDescent="0.3">
      <c r="B41" s="63" t="s">
        <v>66</v>
      </c>
      <c r="C41" s="110"/>
      <c r="D41" s="110"/>
      <c r="E41" s="84"/>
      <c r="F41" s="110"/>
      <c r="G41" s="110"/>
      <c r="H41" s="84"/>
    </row>
    <row r="42" spans="1:14" x14ac:dyDescent="0.3">
      <c r="C42" s="110"/>
      <c r="D42" s="110"/>
      <c r="E42" s="84"/>
      <c r="F42" s="110"/>
      <c r="G42" s="110"/>
      <c r="H42" s="84"/>
    </row>
    <row r="43" spans="1:14" x14ac:dyDescent="0.3">
      <c r="C43" s="110"/>
      <c r="D43" s="110"/>
      <c r="E43" s="84"/>
      <c r="F43" s="110"/>
      <c r="G43" s="110"/>
      <c r="H43" s="84"/>
    </row>
    <row r="44" spans="1:14" x14ac:dyDescent="0.3">
      <c r="B44" s="63" t="s">
        <v>67</v>
      </c>
      <c r="C44" s="110"/>
      <c r="D44" s="110"/>
      <c r="E44" s="84"/>
      <c r="F44" s="110"/>
      <c r="G44" s="110"/>
      <c r="H44" s="84"/>
    </row>
    <row r="45" spans="1:14" ht="28.8" x14ac:dyDescent="0.3">
      <c r="B45" s="63" t="s">
        <v>79</v>
      </c>
      <c r="C45" s="110"/>
      <c r="D45" s="110"/>
      <c r="E45" s="84"/>
      <c r="F45" s="110"/>
      <c r="G45" s="110"/>
      <c r="H45" s="84"/>
    </row>
    <row r="46" spans="1:14" x14ac:dyDescent="0.3">
      <c r="B46" s="69" t="s">
        <v>89</v>
      </c>
      <c r="C46" s="110"/>
      <c r="D46" s="110"/>
      <c r="E46" s="84"/>
      <c r="F46" s="110"/>
      <c r="G46" s="110"/>
      <c r="H46" s="84"/>
    </row>
    <row r="47" spans="1:14" x14ac:dyDescent="0.3">
      <c r="B47" s="77" t="s">
        <v>76</v>
      </c>
      <c r="C47" s="79"/>
      <c r="D47" s="68" t="s">
        <v>37</v>
      </c>
      <c r="E47" s="93" t="s">
        <v>38</v>
      </c>
      <c r="F47" s="110"/>
      <c r="G47" s="68" t="s">
        <v>37</v>
      </c>
      <c r="H47" s="93" t="s">
        <v>38</v>
      </c>
      <c r="J47" s="115" t="s">
        <v>37</v>
      </c>
      <c r="K47" s="149" t="s">
        <v>38</v>
      </c>
      <c r="M47" s="151" t="s">
        <v>37</v>
      </c>
      <c r="N47" s="155" t="s">
        <v>38</v>
      </c>
    </row>
    <row r="48" spans="1:14" x14ac:dyDescent="0.3">
      <c r="B48" s="67" t="s">
        <v>85</v>
      </c>
      <c r="C48" s="79"/>
      <c r="D48" s="79">
        <v>0</v>
      </c>
      <c r="E48" s="101">
        <v>0</v>
      </c>
      <c r="F48" s="110"/>
      <c r="G48" s="110">
        <v>0</v>
      </c>
      <c r="H48" s="84">
        <v>0</v>
      </c>
    </row>
    <row r="49" spans="2:14" x14ac:dyDescent="0.3">
      <c r="B49" s="67" t="s">
        <v>87</v>
      </c>
      <c r="C49" s="79"/>
      <c r="D49" s="79">
        <v>0</v>
      </c>
      <c r="E49" s="101">
        <v>0</v>
      </c>
      <c r="F49" s="110"/>
      <c r="G49" s="110">
        <v>0</v>
      </c>
      <c r="H49" s="84">
        <v>0</v>
      </c>
    </row>
    <row r="50" spans="2:14" x14ac:dyDescent="0.3">
      <c r="B50" s="67" t="s">
        <v>88</v>
      </c>
      <c r="C50" s="79"/>
      <c r="D50" s="79">
        <f>D48-D49</f>
        <v>0</v>
      </c>
      <c r="E50" s="101">
        <f t="shared" ref="E50:H50" si="1">E48-E49</f>
        <v>0</v>
      </c>
      <c r="F50" s="79"/>
      <c r="G50" s="79">
        <f t="shared" si="1"/>
        <v>0</v>
      </c>
      <c r="H50" s="101">
        <f t="shared" si="1"/>
        <v>0</v>
      </c>
    </row>
    <row r="51" spans="2:14" x14ac:dyDescent="0.3">
      <c r="B51" s="77" t="s">
        <v>83</v>
      </c>
      <c r="C51" s="79"/>
      <c r="D51" s="68" t="s">
        <v>37</v>
      </c>
      <c r="E51" s="93" t="s">
        <v>38</v>
      </c>
      <c r="F51" s="110"/>
      <c r="G51" s="68" t="s">
        <v>37</v>
      </c>
      <c r="H51" s="93" t="s">
        <v>38</v>
      </c>
      <c r="J51" s="115" t="s">
        <v>37</v>
      </c>
      <c r="K51" s="149" t="s">
        <v>38</v>
      </c>
      <c r="M51" s="151" t="s">
        <v>37</v>
      </c>
      <c r="N51" s="155" t="s">
        <v>38</v>
      </c>
    </row>
    <row r="52" spans="2:14" x14ac:dyDescent="0.3">
      <c r="B52" s="67" t="s">
        <v>86</v>
      </c>
      <c r="C52" s="79"/>
      <c r="D52" s="79">
        <v>0</v>
      </c>
      <c r="E52" s="101">
        <v>0</v>
      </c>
      <c r="F52" s="110"/>
      <c r="G52" s="110">
        <v>0</v>
      </c>
      <c r="H52" s="84">
        <v>0</v>
      </c>
    </row>
    <row r="53" spans="2:14" x14ac:dyDescent="0.3">
      <c r="B53" s="67" t="s">
        <v>87</v>
      </c>
      <c r="C53" s="79"/>
      <c r="D53" s="79">
        <v>0</v>
      </c>
      <c r="E53" s="101">
        <v>0</v>
      </c>
      <c r="F53" s="110"/>
      <c r="G53" s="110">
        <v>0</v>
      </c>
      <c r="H53" s="84">
        <v>0</v>
      </c>
    </row>
    <row r="54" spans="2:14" x14ac:dyDescent="0.3">
      <c r="B54" s="67" t="s">
        <v>88</v>
      </c>
      <c r="C54" s="79"/>
      <c r="D54" s="79">
        <f>D52-D53</f>
        <v>0</v>
      </c>
      <c r="E54" s="101">
        <f t="shared" ref="E54:H54" si="2">E52-E53</f>
        <v>0</v>
      </c>
      <c r="F54" s="79"/>
      <c r="G54" s="79">
        <f t="shared" si="2"/>
        <v>0</v>
      </c>
      <c r="H54" s="101">
        <f t="shared" si="2"/>
        <v>0</v>
      </c>
    </row>
    <row r="55" spans="2:14" x14ac:dyDescent="0.3">
      <c r="B55" s="77" t="s">
        <v>84</v>
      </c>
      <c r="C55" s="79"/>
      <c r="D55" s="68" t="s">
        <v>37</v>
      </c>
      <c r="E55" s="93" t="s">
        <v>38</v>
      </c>
      <c r="F55" s="110"/>
      <c r="G55" s="68" t="s">
        <v>37</v>
      </c>
      <c r="H55" s="93" t="s">
        <v>38</v>
      </c>
      <c r="J55" s="115" t="s">
        <v>37</v>
      </c>
      <c r="K55" s="149" t="s">
        <v>38</v>
      </c>
      <c r="M55" s="151" t="s">
        <v>37</v>
      </c>
      <c r="N55" s="155" t="s">
        <v>38</v>
      </c>
    </row>
    <row r="56" spans="2:14" x14ac:dyDescent="0.3">
      <c r="B56" s="67" t="s">
        <v>90</v>
      </c>
      <c r="C56" s="79"/>
      <c r="D56" s="79">
        <f>D48+D52</f>
        <v>0</v>
      </c>
      <c r="E56" s="101">
        <f>E48+E52</f>
        <v>0</v>
      </c>
      <c r="F56" s="79"/>
      <c r="G56" s="79">
        <f t="shared" ref="G56:H57" si="3">G48+G52</f>
        <v>0</v>
      </c>
      <c r="H56" s="101">
        <f t="shared" si="3"/>
        <v>0</v>
      </c>
    </row>
    <row r="57" spans="2:14" x14ac:dyDescent="0.3">
      <c r="B57" s="67" t="s">
        <v>91</v>
      </c>
      <c r="C57" s="79"/>
      <c r="D57" s="79">
        <f>D49+D53</f>
        <v>0</v>
      </c>
      <c r="E57" s="101">
        <f>E49+E53</f>
        <v>0</v>
      </c>
      <c r="F57" s="79"/>
      <c r="G57" s="79">
        <f t="shared" si="3"/>
        <v>0</v>
      </c>
      <c r="H57" s="101">
        <f t="shared" si="3"/>
        <v>0</v>
      </c>
    </row>
    <row r="58" spans="2:14" x14ac:dyDescent="0.3">
      <c r="B58" s="67" t="s">
        <v>92</v>
      </c>
      <c r="C58" s="79"/>
      <c r="D58" s="79">
        <f>D56-D57</f>
        <v>0</v>
      </c>
      <c r="E58" s="101">
        <f t="shared" ref="E58:H58" si="4">E56-E57</f>
        <v>0</v>
      </c>
      <c r="F58" s="79"/>
      <c r="G58" s="79">
        <f t="shared" si="4"/>
        <v>0</v>
      </c>
      <c r="H58" s="101">
        <f t="shared" si="4"/>
        <v>0</v>
      </c>
    </row>
    <row r="59" spans="2:14" x14ac:dyDescent="0.3">
      <c r="B59" s="69" t="s">
        <v>74</v>
      </c>
      <c r="C59" s="79"/>
      <c r="D59" s="79"/>
      <c r="E59" s="101"/>
      <c r="F59" s="110"/>
      <c r="G59" s="110"/>
      <c r="H59" s="84"/>
    </row>
    <row r="60" spans="2:14" x14ac:dyDescent="0.3">
      <c r="B60" s="63" t="s">
        <v>75</v>
      </c>
      <c r="C60" s="79"/>
      <c r="D60" s="79"/>
      <c r="E60" s="101"/>
      <c r="F60" s="110"/>
      <c r="G60" s="110"/>
      <c r="H60" s="84"/>
    </row>
    <row r="61" spans="2:14" ht="28.8" x14ac:dyDescent="0.3">
      <c r="B61" s="63" t="s">
        <v>80</v>
      </c>
      <c r="C61" s="79"/>
      <c r="D61" s="79"/>
      <c r="E61" s="101"/>
      <c r="F61" s="110"/>
      <c r="G61" s="110"/>
      <c r="H61" s="84"/>
    </row>
    <row r="62" spans="2:14" ht="28.8" x14ac:dyDescent="0.3">
      <c r="B62" s="63" t="s">
        <v>81</v>
      </c>
      <c r="C62" s="80"/>
      <c r="D62" s="80"/>
      <c r="E62" s="102"/>
      <c r="F62" s="110"/>
      <c r="G62" s="110"/>
      <c r="H62" s="84"/>
    </row>
    <row r="63" spans="2:14" ht="28.8" x14ac:dyDescent="0.3">
      <c r="B63" s="63" t="s">
        <v>82</v>
      </c>
      <c r="C63" s="80"/>
      <c r="D63" s="80"/>
      <c r="E63" s="102"/>
      <c r="F63" s="110"/>
      <c r="G63" s="110"/>
      <c r="H63" s="84"/>
    </row>
    <row r="67" spans="2:14" x14ac:dyDescent="0.3">
      <c r="B67" s="77" t="s">
        <v>32</v>
      </c>
    </row>
    <row r="68" spans="2:14" x14ac:dyDescent="0.3">
      <c r="B68" s="63" t="s">
        <v>34</v>
      </c>
      <c r="D68" s="63">
        <v>4953</v>
      </c>
      <c r="E68" s="103">
        <v>11651379</v>
      </c>
      <c r="G68" s="105">
        <v>4575</v>
      </c>
      <c r="H68" s="119">
        <v>10815751</v>
      </c>
      <c r="J68" s="105">
        <v>4258</v>
      </c>
      <c r="K68" s="150">
        <v>9938605</v>
      </c>
      <c r="M68" s="116">
        <v>3891</v>
      </c>
      <c r="N68" s="156">
        <v>8919064</v>
      </c>
    </row>
  </sheetData>
  <mergeCells count="4">
    <mergeCell ref="C2:E2"/>
    <mergeCell ref="F2:H2"/>
    <mergeCell ref="I2:K2"/>
    <mergeCell ref="L2:N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theme="9"/>
  </sheetPr>
  <dimension ref="A1:N68"/>
  <sheetViews>
    <sheetView zoomScale="80" zoomScaleNormal="80" workbookViewId="0">
      <pane xSplit="2" ySplit="2" topLeftCell="L3" activePane="bottomRight" state="frozen"/>
      <selection activeCell="I1" sqref="I1:K68"/>
      <selection pane="topRight" activeCell="I1" sqref="I1:K68"/>
      <selection pane="bottomLeft" activeCell="I1" sqref="I1:K68"/>
      <selection pane="bottomRight" activeCell="N3" sqref="N3"/>
    </sheetView>
  </sheetViews>
  <sheetFormatPr baseColWidth="10" defaultColWidth="11.44140625" defaultRowHeight="14.4" x14ac:dyDescent="0.3"/>
  <cols>
    <col min="1" max="1" width="40.6640625" style="63" customWidth="1"/>
    <col min="2" max="2" width="53.6640625" style="63" customWidth="1"/>
    <col min="3" max="4" width="17.5546875" style="63" customWidth="1"/>
    <col min="5" max="5" width="17.5546875" style="103" customWidth="1"/>
    <col min="6" max="7" width="17.5546875" style="109" customWidth="1"/>
    <col min="8" max="8" width="17.5546875" style="92" customWidth="1"/>
    <col min="9" max="10" width="15.6640625" style="147" customWidth="1"/>
    <col min="11" max="11" width="15.6640625" style="148" customWidth="1"/>
    <col min="12" max="13" width="15.6640625" style="151" customWidth="1"/>
    <col min="14" max="14" width="15.6640625" style="155" customWidth="1"/>
    <col min="15" max="16384" width="11.44140625" style="109"/>
  </cols>
  <sheetData>
    <row r="1" spans="1:14" x14ac:dyDescent="0.3">
      <c r="A1" s="72" t="s">
        <v>36</v>
      </c>
      <c r="B1" s="75" t="s">
        <v>35</v>
      </c>
      <c r="C1" s="109"/>
      <c r="D1" s="109"/>
      <c r="E1" s="92"/>
    </row>
    <row r="2" spans="1:14" x14ac:dyDescent="0.3">
      <c r="A2" s="69" t="s">
        <v>54</v>
      </c>
      <c r="B2" s="69" t="s">
        <v>29</v>
      </c>
      <c r="C2" s="163" t="s">
        <v>39</v>
      </c>
      <c r="D2" s="163"/>
      <c r="E2" s="163"/>
      <c r="F2" s="163" t="s">
        <v>40</v>
      </c>
      <c r="G2" s="163"/>
      <c r="H2" s="163"/>
      <c r="I2" s="164" t="s">
        <v>41</v>
      </c>
      <c r="J2" s="164"/>
      <c r="K2" s="164"/>
      <c r="L2" s="164" t="s">
        <v>176</v>
      </c>
      <c r="M2" s="164"/>
      <c r="N2" s="164"/>
    </row>
    <row r="3" spans="1:14" x14ac:dyDescent="0.3">
      <c r="A3" s="91"/>
      <c r="B3" s="76" t="s">
        <v>42</v>
      </c>
      <c r="C3" s="66"/>
      <c r="D3" s="68" t="s">
        <v>37</v>
      </c>
      <c r="E3" s="93" t="s">
        <v>38</v>
      </c>
      <c r="F3" s="66"/>
      <c r="G3" s="68" t="s">
        <v>37</v>
      </c>
      <c r="H3" s="93" t="s">
        <v>38</v>
      </c>
      <c r="J3" s="115" t="s">
        <v>37</v>
      </c>
      <c r="K3" s="149" t="s">
        <v>38</v>
      </c>
      <c r="M3" s="151" t="s">
        <v>37</v>
      </c>
      <c r="N3" s="155" t="s">
        <v>38</v>
      </c>
    </row>
    <row r="4" spans="1:14" x14ac:dyDescent="0.3">
      <c r="A4" s="91"/>
      <c r="B4" s="67" t="s">
        <v>45</v>
      </c>
      <c r="C4" s="85"/>
      <c r="D4" s="86">
        <v>0</v>
      </c>
      <c r="E4" s="94">
        <v>0</v>
      </c>
      <c r="F4" s="85"/>
      <c r="G4" s="70">
        <v>0</v>
      </c>
      <c r="H4" s="98">
        <v>0</v>
      </c>
    </row>
    <row r="5" spans="1:14" ht="28.8" x14ac:dyDescent="0.3">
      <c r="A5" s="130"/>
      <c r="B5" s="67" t="s">
        <v>77</v>
      </c>
      <c r="C5" s="85"/>
      <c r="D5" s="86">
        <v>0</v>
      </c>
      <c r="E5" s="131">
        <v>0</v>
      </c>
      <c r="F5" s="85"/>
      <c r="G5" s="70">
        <v>0</v>
      </c>
      <c r="H5" s="98">
        <v>0</v>
      </c>
    </row>
    <row r="6" spans="1:14" ht="28.8" x14ac:dyDescent="0.3">
      <c r="A6" s="130" t="s">
        <v>133</v>
      </c>
      <c r="B6" s="67" t="s">
        <v>46</v>
      </c>
      <c r="C6" s="85"/>
      <c r="D6" s="86">
        <v>195224</v>
      </c>
      <c r="E6" s="131">
        <v>28083272</v>
      </c>
      <c r="F6" s="85"/>
      <c r="G6" s="83">
        <v>205527</v>
      </c>
      <c r="H6" s="117">
        <v>31586199</v>
      </c>
      <c r="J6" s="105">
        <v>228790</v>
      </c>
      <c r="K6" s="150">
        <v>31551569</v>
      </c>
      <c r="M6" s="116">
        <v>203835</v>
      </c>
      <c r="N6" s="156">
        <v>26495561</v>
      </c>
    </row>
    <row r="7" spans="1:14" ht="28.8" x14ac:dyDescent="0.3">
      <c r="A7" s="130" t="s">
        <v>135</v>
      </c>
      <c r="B7" s="67" t="s">
        <v>47</v>
      </c>
      <c r="C7" s="85"/>
      <c r="D7" s="86">
        <v>17383</v>
      </c>
      <c r="E7" s="131">
        <v>3905576</v>
      </c>
      <c r="F7" s="85"/>
      <c r="G7" s="83">
        <v>18160</v>
      </c>
      <c r="H7" s="117">
        <v>3649204</v>
      </c>
      <c r="J7" s="105">
        <v>19152</v>
      </c>
      <c r="K7" s="150">
        <v>4170096</v>
      </c>
      <c r="M7" s="116">
        <v>15099</v>
      </c>
      <c r="N7" s="156">
        <v>3265564</v>
      </c>
    </row>
    <row r="8" spans="1:14" x14ac:dyDescent="0.3">
      <c r="A8" s="130"/>
      <c r="B8" s="67" t="s">
        <v>48</v>
      </c>
      <c r="C8" s="85"/>
      <c r="D8" s="86">
        <f>SUM(D4:D7)</f>
        <v>212607</v>
      </c>
      <c r="E8" s="131">
        <f>SUM(E4:E7)</f>
        <v>31988848</v>
      </c>
      <c r="F8" s="85"/>
      <c r="G8" s="83">
        <f>SUM(G4:G7)</f>
        <v>223687</v>
      </c>
      <c r="H8" s="117">
        <f>SUM(H4:H7)</f>
        <v>35235403</v>
      </c>
      <c r="J8" s="105">
        <f>SUM(J4:J7)</f>
        <v>247942</v>
      </c>
      <c r="K8" s="150">
        <f>SUM(K4:K7)</f>
        <v>35721665</v>
      </c>
      <c r="M8" s="116">
        <f>SUM(M4:M7)</f>
        <v>218934</v>
      </c>
      <c r="N8" s="156">
        <f>SUM(N4:N7)</f>
        <v>29761125</v>
      </c>
    </row>
    <row r="9" spans="1:14" x14ac:dyDescent="0.3">
      <c r="A9" s="91"/>
      <c r="B9" s="76" t="s">
        <v>43</v>
      </c>
      <c r="C9" s="66"/>
      <c r="D9" s="68" t="s">
        <v>37</v>
      </c>
      <c r="E9" s="93" t="s">
        <v>38</v>
      </c>
      <c r="F9" s="66"/>
      <c r="G9" s="68" t="s">
        <v>37</v>
      </c>
      <c r="H9" s="93" t="s">
        <v>38</v>
      </c>
      <c r="J9" s="115" t="s">
        <v>37</v>
      </c>
      <c r="K9" s="149" t="s">
        <v>38</v>
      </c>
      <c r="M9" s="151" t="s">
        <v>37</v>
      </c>
      <c r="N9" s="155" t="s">
        <v>38</v>
      </c>
    </row>
    <row r="10" spans="1:14" ht="28.8" x14ac:dyDescent="0.3">
      <c r="A10" s="91" t="s">
        <v>57</v>
      </c>
      <c r="B10" s="78"/>
      <c r="C10" s="87"/>
      <c r="D10" s="88">
        <v>8184</v>
      </c>
      <c r="E10" s="95">
        <v>22990867</v>
      </c>
      <c r="F10" s="87"/>
      <c r="G10" s="81">
        <v>7376</v>
      </c>
      <c r="H10" s="118">
        <v>23924006</v>
      </c>
      <c r="J10" s="147">
        <v>7946</v>
      </c>
      <c r="K10" s="148">
        <v>27448452</v>
      </c>
      <c r="M10" s="151">
        <v>7274</v>
      </c>
      <c r="N10" s="155">
        <v>24403210</v>
      </c>
    </row>
    <row r="11" spans="1:14" ht="28.8" x14ac:dyDescent="0.3">
      <c r="A11" s="130" t="s">
        <v>134</v>
      </c>
      <c r="B11" s="78"/>
      <c r="C11" s="87"/>
      <c r="D11" s="88">
        <v>13249</v>
      </c>
      <c r="E11" s="132">
        <v>7282181</v>
      </c>
      <c r="F11" s="87"/>
      <c r="G11" s="81">
        <v>11776</v>
      </c>
      <c r="H11" s="118">
        <v>6815614</v>
      </c>
      <c r="J11" s="147">
        <v>12092</v>
      </c>
      <c r="K11" s="148">
        <v>7071258</v>
      </c>
      <c r="M11" s="151">
        <v>10516</v>
      </c>
      <c r="N11" s="155">
        <v>6207031</v>
      </c>
    </row>
    <row r="12" spans="1:14" ht="28.8" x14ac:dyDescent="0.3">
      <c r="A12" s="130" t="s">
        <v>53</v>
      </c>
      <c r="B12" s="78"/>
      <c r="C12" s="87"/>
      <c r="D12" s="88">
        <v>1300</v>
      </c>
      <c r="E12" s="132">
        <v>370852</v>
      </c>
      <c r="F12" s="87"/>
      <c r="G12" s="81">
        <v>1257</v>
      </c>
      <c r="H12" s="118">
        <v>330569</v>
      </c>
      <c r="J12" s="147">
        <v>1334</v>
      </c>
      <c r="K12" s="148">
        <v>351149</v>
      </c>
      <c r="M12" s="151">
        <v>1128</v>
      </c>
      <c r="N12" s="155">
        <v>334209</v>
      </c>
    </row>
    <row r="13" spans="1:14" ht="28.8" x14ac:dyDescent="0.3">
      <c r="A13" s="91" t="s">
        <v>55</v>
      </c>
      <c r="B13" s="78"/>
      <c r="C13" s="87"/>
      <c r="D13" s="88">
        <v>329</v>
      </c>
      <c r="E13" s="95">
        <v>93010</v>
      </c>
      <c r="F13" s="87"/>
      <c r="G13" s="81">
        <v>393</v>
      </c>
      <c r="H13" s="118">
        <v>105451</v>
      </c>
      <c r="J13" s="147">
        <v>489</v>
      </c>
      <c r="K13" s="148">
        <v>85992</v>
      </c>
      <c r="M13" s="151">
        <v>337</v>
      </c>
      <c r="N13" s="155">
        <v>74079</v>
      </c>
    </row>
    <row r="14" spans="1:14" ht="43.2" x14ac:dyDescent="0.3">
      <c r="A14" s="91" t="s">
        <v>52</v>
      </c>
      <c r="B14" s="82" t="s">
        <v>45</v>
      </c>
      <c r="C14" s="85"/>
      <c r="D14" s="86">
        <f>D10+D11</f>
        <v>21433</v>
      </c>
      <c r="E14" s="94">
        <f>E10+E11</f>
        <v>30273048</v>
      </c>
      <c r="F14" s="85"/>
      <c r="G14" s="83">
        <f>G10+G11</f>
        <v>19152</v>
      </c>
      <c r="H14" s="117">
        <f>H10+H11</f>
        <v>30739620</v>
      </c>
      <c r="J14" s="105">
        <v>20038</v>
      </c>
      <c r="K14" s="150">
        <v>34519710</v>
      </c>
      <c r="M14" s="116">
        <v>17790</v>
      </c>
      <c r="N14" s="156">
        <v>30610241</v>
      </c>
    </row>
    <row r="15" spans="1:14" ht="28.8" x14ac:dyDescent="0.3">
      <c r="A15" s="130"/>
      <c r="B15" s="67" t="s">
        <v>77</v>
      </c>
      <c r="C15" s="85"/>
      <c r="D15" s="86">
        <v>0</v>
      </c>
      <c r="E15" s="131">
        <v>0</v>
      </c>
      <c r="F15" s="85"/>
      <c r="G15" s="83">
        <v>0</v>
      </c>
      <c r="H15" s="117">
        <v>0</v>
      </c>
    </row>
    <row r="16" spans="1:14" ht="28.8" x14ac:dyDescent="0.3">
      <c r="A16" s="130" t="s">
        <v>53</v>
      </c>
      <c r="B16" s="67" t="s">
        <v>46</v>
      </c>
      <c r="C16" s="85"/>
      <c r="D16" s="86">
        <f>D12</f>
        <v>1300</v>
      </c>
      <c r="E16" s="131">
        <f>E12</f>
        <v>370852</v>
      </c>
      <c r="F16" s="85"/>
      <c r="G16" s="83">
        <f>G12</f>
        <v>1257</v>
      </c>
      <c r="H16" s="117">
        <f>H12</f>
        <v>330569</v>
      </c>
      <c r="J16" s="105">
        <v>1334</v>
      </c>
      <c r="K16" s="150">
        <v>351149</v>
      </c>
      <c r="M16" s="116">
        <v>1128</v>
      </c>
      <c r="N16" s="156">
        <v>334209</v>
      </c>
    </row>
    <row r="17" spans="1:14" ht="28.8" x14ac:dyDescent="0.3">
      <c r="A17" s="91" t="s">
        <v>55</v>
      </c>
      <c r="B17" s="67" t="s">
        <v>47</v>
      </c>
      <c r="C17" s="85"/>
      <c r="D17" s="86">
        <f>D13</f>
        <v>329</v>
      </c>
      <c r="E17" s="94">
        <f>E13</f>
        <v>93010</v>
      </c>
      <c r="F17" s="85"/>
      <c r="G17" s="83">
        <f>G13</f>
        <v>393</v>
      </c>
      <c r="H17" s="117">
        <f>H13</f>
        <v>105451</v>
      </c>
      <c r="J17" s="105">
        <v>489</v>
      </c>
      <c r="K17" s="150">
        <v>85992</v>
      </c>
      <c r="M17" s="116">
        <v>337</v>
      </c>
      <c r="N17" s="156">
        <v>74079</v>
      </c>
    </row>
    <row r="18" spans="1:14" x14ac:dyDescent="0.3">
      <c r="A18" s="91"/>
      <c r="B18" s="67" t="s">
        <v>49</v>
      </c>
      <c r="C18" s="85"/>
      <c r="D18" s="86">
        <f>SUM(D14:D17)</f>
        <v>23062</v>
      </c>
      <c r="E18" s="94">
        <f>SUM(E14:E17)</f>
        <v>30736910</v>
      </c>
      <c r="F18" s="66"/>
      <c r="G18" s="83">
        <f>SUM(G14:G17)</f>
        <v>20802</v>
      </c>
      <c r="H18" s="117">
        <f>SUM(H14:H17)</f>
        <v>31175640</v>
      </c>
      <c r="J18" s="105">
        <f>SUM(J14:J17)</f>
        <v>21861</v>
      </c>
      <c r="K18" s="150">
        <f>SUM(K14:K17)</f>
        <v>34956851</v>
      </c>
      <c r="M18" s="116">
        <f>SUM(M14:M17)</f>
        <v>19255</v>
      </c>
      <c r="N18" s="156">
        <f>SUM(N14:N17)</f>
        <v>31018529</v>
      </c>
    </row>
    <row r="19" spans="1:14" x14ac:dyDescent="0.3">
      <c r="A19" s="130"/>
      <c r="B19" s="71" t="s">
        <v>44</v>
      </c>
      <c r="C19" s="85"/>
      <c r="D19" s="85"/>
      <c r="E19" s="133"/>
      <c r="F19" s="66"/>
      <c r="G19" s="66"/>
      <c r="H19" s="97"/>
    </row>
    <row r="20" spans="1:14" ht="57.6" x14ac:dyDescent="0.3">
      <c r="A20" s="130" t="s">
        <v>56</v>
      </c>
      <c r="B20" s="67" t="s">
        <v>50</v>
      </c>
      <c r="C20" s="85"/>
      <c r="D20" s="86">
        <f>D11+D12+D13</f>
        <v>14878</v>
      </c>
      <c r="E20" s="131">
        <f>E11+E12+E13</f>
        <v>7746043</v>
      </c>
      <c r="F20" s="66"/>
      <c r="G20" s="83">
        <f>G11+G12+G13</f>
        <v>13426</v>
      </c>
      <c r="H20" s="117">
        <f>H11+H12+H13</f>
        <v>7251634</v>
      </c>
      <c r="J20" s="105">
        <v>13915</v>
      </c>
      <c r="K20" s="150">
        <v>7508399</v>
      </c>
      <c r="M20" s="116">
        <v>11981</v>
      </c>
      <c r="N20" s="156">
        <v>6615319</v>
      </c>
    </row>
    <row r="21" spans="1:14" ht="28.8" x14ac:dyDescent="0.3">
      <c r="A21" s="91" t="s">
        <v>57</v>
      </c>
      <c r="B21" s="67" t="s">
        <v>51</v>
      </c>
      <c r="C21" s="85"/>
      <c r="D21" s="86">
        <f>D10</f>
        <v>8184</v>
      </c>
      <c r="E21" s="94">
        <f>E10</f>
        <v>22990867</v>
      </c>
      <c r="F21" s="66"/>
      <c r="G21" s="83">
        <f>G10</f>
        <v>7376</v>
      </c>
      <c r="H21" s="117">
        <f>H10</f>
        <v>23924006</v>
      </c>
      <c r="J21" s="105">
        <v>7946</v>
      </c>
      <c r="K21" s="150">
        <v>27448452</v>
      </c>
      <c r="M21" s="116">
        <v>7274</v>
      </c>
      <c r="N21" s="156">
        <v>24403210</v>
      </c>
    </row>
    <row r="22" spans="1:14" x14ac:dyDescent="0.3">
      <c r="A22" s="91"/>
      <c r="B22" s="76" t="s">
        <v>58</v>
      </c>
      <c r="C22" s="66"/>
      <c r="D22" s="68" t="s">
        <v>37</v>
      </c>
      <c r="E22" s="93" t="s">
        <v>38</v>
      </c>
      <c r="F22" s="66"/>
      <c r="G22" s="68" t="s">
        <v>37</v>
      </c>
      <c r="H22" s="93" t="s">
        <v>38</v>
      </c>
      <c r="J22" s="115" t="s">
        <v>37</v>
      </c>
      <c r="K22" s="149" t="s">
        <v>38</v>
      </c>
      <c r="M22" s="151" t="s">
        <v>37</v>
      </c>
      <c r="N22" s="155" t="s">
        <v>38</v>
      </c>
    </row>
    <row r="23" spans="1:14" x14ac:dyDescent="0.3">
      <c r="A23" s="130"/>
      <c r="B23" s="67" t="s">
        <v>45</v>
      </c>
      <c r="C23" s="66"/>
      <c r="D23" s="66"/>
      <c r="E23" s="133"/>
      <c r="F23" s="66"/>
      <c r="G23" s="66"/>
      <c r="H23" s="97"/>
    </row>
    <row r="24" spans="1:14" ht="28.8" x14ac:dyDescent="0.3">
      <c r="A24" s="130"/>
      <c r="B24" s="67" t="s">
        <v>77</v>
      </c>
      <c r="C24" s="66"/>
      <c r="D24" s="66"/>
      <c r="E24" s="133"/>
      <c r="F24" s="66"/>
      <c r="G24" s="66"/>
      <c r="H24" s="97"/>
    </row>
    <row r="25" spans="1:14" x14ac:dyDescent="0.3">
      <c r="A25" s="91"/>
      <c r="B25" s="63" t="s">
        <v>46</v>
      </c>
      <c r="C25" s="64"/>
      <c r="D25" s="64"/>
      <c r="E25" s="97"/>
      <c r="F25" s="64"/>
      <c r="G25" s="64"/>
      <c r="H25" s="97"/>
    </row>
    <row r="26" spans="1:14" x14ac:dyDescent="0.3">
      <c r="A26" s="91"/>
      <c r="B26" s="63" t="s">
        <v>47</v>
      </c>
      <c r="C26" s="64"/>
      <c r="D26" s="64"/>
      <c r="E26" s="97"/>
      <c r="F26" s="64"/>
      <c r="G26" s="64"/>
      <c r="H26" s="97"/>
    </row>
    <row r="27" spans="1:14" x14ac:dyDescent="0.3">
      <c r="A27" s="91"/>
      <c r="B27" s="63" t="s">
        <v>60</v>
      </c>
      <c r="C27" s="64"/>
      <c r="D27" s="64"/>
      <c r="E27" s="97"/>
      <c r="F27" s="64"/>
      <c r="G27" s="64"/>
      <c r="H27" s="97"/>
    </row>
    <row r="28" spans="1:14" x14ac:dyDescent="0.3">
      <c r="A28" s="91"/>
      <c r="B28" s="77" t="s">
        <v>59</v>
      </c>
      <c r="C28" s="65" t="s">
        <v>30</v>
      </c>
      <c r="D28" s="65" t="s">
        <v>72</v>
      </c>
      <c r="E28" s="93" t="s">
        <v>31</v>
      </c>
      <c r="F28" s="65" t="s">
        <v>30</v>
      </c>
      <c r="G28" s="65" t="s">
        <v>72</v>
      </c>
      <c r="H28" s="93" t="s">
        <v>31</v>
      </c>
      <c r="I28" s="115" t="s">
        <v>30</v>
      </c>
      <c r="J28" s="115" t="s">
        <v>72</v>
      </c>
      <c r="K28" s="149" t="s">
        <v>31</v>
      </c>
      <c r="L28" s="151" t="s">
        <v>30</v>
      </c>
      <c r="M28" s="151" t="s">
        <v>72</v>
      </c>
      <c r="N28" s="155" t="s">
        <v>31</v>
      </c>
    </row>
    <row r="29" spans="1:14" x14ac:dyDescent="0.3">
      <c r="A29" s="91"/>
      <c r="B29" s="63" t="s">
        <v>61</v>
      </c>
      <c r="C29" s="73">
        <v>45905</v>
      </c>
      <c r="D29" s="73">
        <v>1705</v>
      </c>
      <c r="E29" s="98">
        <v>47610</v>
      </c>
      <c r="F29" s="104">
        <v>41839</v>
      </c>
      <c r="G29" s="104">
        <v>2435</v>
      </c>
      <c r="H29" s="117">
        <v>44274</v>
      </c>
      <c r="I29" s="105">
        <f t="shared" ref="I29:N29" si="0">F34</f>
        <v>41118</v>
      </c>
      <c r="J29" s="105">
        <f t="shared" si="0"/>
        <v>1756</v>
      </c>
      <c r="K29" s="150">
        <f t="shared" si="0"/>
        <v>42874</v>
      </c>
      <c r="L29" s="116">
        <f t="shared" si="0"/>
        <v>42989</v>
      </c>
      <c r="M29" s="116">
        <f t="shared" si="0"/>
        <v>1588</v>
      </c>
      <c r="N29" s="156">
        <f t="shared" si="0"/>
        <v>44577</v>
      </c>
    </row>
    <row r="30" spans="1:14" x14ac:dyDescent="0.3">
      <c r="A30" s="91" t="s">
        <v>95</v>
      </c>
      <c r="B30" s="63" t="s">
        <v>62</v>
      </c>
      <c r="C30" s="110"/>
      <c r="D30" s="110"/>
      <c r="E30" s="84"/>
      <c r="F30" s="110"/>
      <c r="G30" s="110"/>
      <c r="H30" s="119">
        <v>5371</v>
      </c>
      <c r="K30" s="150">
        <v>8568</v>
      </c>
      <c r="N30" s="156">
        <v>9981</v>
      </c>
    </row>
    <row r="31" spans="1:14" x14ac:dyDescent="0.3">
      <c r="A31" s="91"/>
      <c r="B31" s="63" t="s">
        <v>63</v>
      </c>
      <c r="C31" s="110"/>
      <c r="D31" s="110"/>
      <c r="E31" s="84"/>
      <c r="F31" s="110"/>
      <c r="G31" s="110"/>
      <c r="H31" s="84"/>
    </row>
    <row r="32" spans="1:14" ht="28.8" x14ac:dyDescent="0.3">
      <c r="A32" s="91" t="s">
        <v>68</v>
      </c>
      <c r="C32" s="110"/>
      <c r="D32" s="110"/>
      <c r="E32" s="99">
        <v>44274</v>
      </c>
      <c r="F32" s="110"/>
      <c r="G32" s="110"/>
      <c r="H32" s="119">
        <v>42874</v>
      </c>
      <c r="K32" s="148">
        <v>44577</v>
      </c>
      <c r="N32" s="155">
        <v>46965</v>
      </c>
    </row>
    <row r="33" spans="1:14" ht="28.8" x14ac:dyDescent="0.3">
      <c r="A33" s="91" t="s">
        <v>69</v>
      </c>
      <c r="C33" s="110"/>
      <c r="D33" s="110"/>
      <c r="E33" s="84">
        <v>0</v>
      </c>
      <c r="F33" s="110"/>
      <c r="G33" s="110"/>
      <c r="H33" s="119">
        <v>0</v>
      </c>
    </row>
    <row r="34" spans="1:14" ht="43.2" x14ac:dyDescent="0.3">
      <c r="A34" s="91" t="s">
        <v>73</v>
      </c>
      <c r="B34" s="63" t="s">
        <v>64</v>
      </c>
      <c r="C34" s="110">
        <f>E34-D34</f>
        <v>41839</v>
      </c>
      <c r="D34" s="110">
        <v>2435</v>
      </c>
      <c r="E34" s="84">
        <f>SUM(E32:E33)</f>
        <v>44274</v>
      </c>
      <c r="F34" s="105">
        <f>H34-G34</f>
        <v>41118</v>
      </c>
      <c r="G34" s="105">
        <v>1756</v>
      </c>
      <c r="H34" s="119">
        <f>SUM(H32:H33)</f>
        <v>42874</v>
      </c>
      <c r="I34" s="105">
        <f>K34-J34</f>
        <v>42989</v>
      </c>
      <c r="J34" s="105">
        <v>1588</v>
      </c>
      <c r="K34" s="150">
        <f>SUM(K32:K33)</f>
        <v>44577</v>
      </c>
      <c r="L34" s="116">
        <f>N34-M34</f>
        <v>45120</v>
      </c>
      <c r="M34" s="116">
        <v>1845</v>
      </c>
      <c r="N34" s="156">
        <f>SUM(N32:N33)</f>
        <v>46965</v>
      </c>
    </row>
    <row r="35" spans="1:14" ht="28.8" x14ac:dyDescent="0.3">
      <c r="A35" s="91" t="s">
        <v>96</v>
      </c>
      <c r="C35" s="110"/>
      <c r="D35" s="110"/>
      <c r="E35" s="99">
        <v>38611</v>
      </c>
      <c r="F35" s="110"/>
      <c r="G35" s="110"/>
      <c r="H35" s="119">
        <v>38959</v>
      </c>
      <c r="K35" s="148">
        <v>14193</v>
      </c>
      <c r="N35" s="155">
        <v>12413</v>
      </c>
    </row>
    <row r="36" spans="1:14" ht="28.8" x14ac:dyDescent="0.3">
      <c r="A36" s="91" t="s">
        <v>97</v>
      </c>
      <c r="C36" s="110"/>
      <c r="D36" s="110"/>
      <c r="E36" s="99">
        <v>6</v>
      </c>
      <c r="F36" s="110"/>
      <c r="G36" s="110"/>
      <c r="H36" s="119">
        <v>2</v>
      </c>
    </row>
    <row r="37" spans="1:14" ht="28.8" x14ac:dyDescent="0.3">
      <c r="A37" s="91"/>
      <c r="B37" s="136" t="s">
        <v>78</v>
      </c>
      <c r="C37" s="90"/>
      <c r="D37" s="90"/>
      <c r="E37" s="100">
        <f>SUM(E35:E36)</f>
        <v>38617</v>
      </c>
      <c r="F37" s="110"/>
      <c r="G37" s="110"/>
      <c r="H37" s="119">
        <f>SUM(H35:H36)</f>
        <v>38961</v>
      </c>
      <c r="K37" s="150">
        <f>SUM(K35:K36)</f>
        <v>14193</v>
      </c>
      <c r="N37" s="156">
        <f>SUM(N35:N36)</f>
        <v>12413</v>
      </c>
    </row>
    <row r="38" spans="1:14" ht="28.8" x14ac:dyDescent="0.3">
      <c r="A38" s="91" t="s">
        <v>70</v>
      </c>
      <c r="B38" s="136"/>
      <c r="C38" s="90"/>
      <c r="D38" s="90"/>
      <c r="E38" s="100">
        <v>44274</v>
      </c>
      <c r="F38" s="110"/>
      <c r="G38" s="110"/>
      <c r="H38" s="119">
        <v>44261</v>
      </c>
      <c r="K38" s="148">
        <v>46042</v>
      </c>
      <c r="N38" s="155">
        <v>48526</v>
      </c>
    </row>
    <row r="39" spans="1:14" ht="28.8" x14ac:dyDescent="0.3">
      <c r="A39" s="130" t="s">
        <v>71</v>
      </c>
      <c r="B39" s="130"/>
      <c r="C39" s="134"/>
      <c r="D39" s="90"/>
      <c r="E39" s="100">
        <v>0</v>
      </c>
      <c r="F39" s="110"/>
      <c r="G39" s="110"/>
      <c r="H39" s="119">
        <v>0</v>
      </c>
    </row>
    <row r="40" spans="1:14" x14ac:dyDescent="0.3">
      <c r="A40" s="91"/>
      <c r="B40" s="63" t="s">
        <v>65</v>
      </c>
      <c r="C40" s="90">
        <f>E40-D40</f>
        <v>41839</v>
      </c>
      <c r="D40" s="90">
        <f>D34</f>
        <v>2435</v>
      </c>
      <c r="E40" s="100">
        <f>SUM(E38:E39)</f>
        <v>44274</v>
      </c>
      <c r="F40" s="105">
        <f>H40-G40</f>
        <v>44026</v>
      </c>
      <c r="G40" s="105">
        <v>235</v>
      </c>
      <c r="H40" s="119">
        <f>SUM(H38:H39)</f>
        <v>44261</v>
      </c>
      <c r="I40" s="105">
        <f>K40-J40</f>
        <v>45826</v>
      </c>
      <c r="J40" s="105">
        <v>216</v>
      </c>
      <c r="K40" s="150">
        <f>SUM(K38:K39)</f>
        <v>46042</v>
      </c>
      <c r="L40" s="116">
        <f>N40-M40</f>
        <v>48289</v>
      </c>
      <c r="M40" s="116">
        <v>237</v>
      </c>
      <c r="N40" s="156">
        <f>SUM(N38:N39)</f>
        <v>48526</v>
      </c>
    </row>
    <row r="41" spans="1:14" x14ac:dyDescent="0.3">
      <c r="A41" s="91"/>
      <c r="B41" s="63" t="s">
        <v>66</v>
      </c>
      <c r="C41" s="90"/>
      <c r="D41" s="90"/>
      <c r="E41" s="100"/>
      <c r="F41" s="110"/>
      <c r="G41" s="110"/>
      <c r="H41" s="84"/>
    </row>
    <row r="42" spans="1:14" x14ac:dyDescent="0.3">
      <c r="A42" s="91"/>
      <c r="C42" s="90"/>
      <c r="D42" s="90"/>
      <c r="E42" s="100"/>
      <c r="F42" s="110"/>
      <c r="G42" s="110"/>
      <c r="H42" s="84"/>
    </row>
    <row r="43" spans="1:14" x14ac:dyDescent="0.3">
      <c r="A43" s="91"/>
      <c r="C43" s="90"/>
      <c r="D43" s="90"/>
      <c r="E43" s="100"/>
      <c r="F43" s="110"/>
      <c r="G43" s="110"/>
      <c r="H43" s="84"/>
    </row>
    <row r="44" spans="1:14" x14ac:dyDescent="0.3">
      <c r="A44" s="91"/>
      <c r="B44" s="63" t="s">
        <v>67</v>
      </c>
      <c r="C44" s="90"/>
      <c r="D44" s="90"/>
      <c r="E44" s="100"/>
      <c r="F44" s="110"/>
      <c r="G44" s="110"/>
      <c r="H44" s="84"/>
    </row>
    <row r="45" spans="1:14" ht="28.8" x14ac:dyDescent="0.3">
      <c r="A45" s="91"/>
      <c r="B45" s="63" t="s">
        <v>79</v>
      </c>
      <c r="C45" s="90"/>
      <c r="D45" s="90"/>
      <c r="E45" s="100"/>
      <c r="F45" s="110"/>
      <c r="G45" s="110"/>
      <c r="H45" s="84"/>
    </row>
    <row r="46" spans="1:14" x14ac:dyDescent="0.3">
      <c r="A46" s="91"/>
      <c r="B46" s="69" t="s">
        <v>89</v>
      </c>
      <c r="C46" s="110"/>
      <c r="D46" s="110"/>
      <c r="E46" s="84"/>
      <c r="F46" s="110"/>
      <c r="G46" s="110"/>
      <c r="H46" s="84"/>
    </row>
    <row r="47" spans="1:14" x14ac:dyDescent="0.3">
      <c r="A47" s="91"/>
      <c r="B47" s="77" t="s">
        <v>76</v>
      </c>
      <c r="C47" s="79"/>
      <c r="D47" s="68" t="s">
        <v>37</v>
      </c>
      <c r="E47" s="93" t="s">
        <v>38</v>
      </c>
      <c r="F47" s="110"/>
      <c r="G47" s="68" t="s">
        <v>37</v>
      </c>
      <c r="H47" s="93" t="s">
        <v>38</v>
      </c>
      <c r="J47" s="115" t="s">
        <v>37</v>
      </c>
      <c r="K47" s="149" t="s">
        <v>38</v>
      </c>
      <c r="M47" s="151" t="s">
        <v>37</v>
      </c>
      <c r="N47" s="155" t="s">
        <v>38</v>
      </c>
    </row>
    <row r="48" spans="1:14" x14ac:dyDescent="0.3">
      <c r="A48" s="91"/>
      <c r="B48" s="67" t="s">
        <v>85</v>
      </c>
      <c r="C48" s="79"/>
      <c r="D48" s="79">
        <v>1</v>
      </c>
      <c r="E48" s="101">
        <v>1073.69</v>
      </c>
      <c r="F48" s="110"/>
      <c r="G48" s="110">
        <v>0</v>
      </c>
      <c r="H48" s="84">
        <v>0</v>
      </c>
    </row>
    <row r="49" spans="1:14" x14ac:dyDescent="0.3">
      <c r="A49" s="91"/>
      <c r="B49" s="67" t="s">
        <v>87</v>
      </c>
      <c r="C49" s="79"/>
      <c r="D49" s="79">
        <v>0</v>
      </c>
      <c r="E49" s="101">
        <v>0</v>
      </c>
      <c r="F49" s="110"/>
      <c r="G49" s="110">
        <v>0</v>
      </c>
      <c r="H49" s="84">
        <v>0</v>
      </c>
    </row>
    <row r="50" spans="1:14" x14ac:dyDescent="0.3">
      <c r="A50" s="91"/>
      <c r="B50" s="67" t="s">
        <v>88</v>
      </c>
      <c r="C50" s="79"/>
      <c r="D50" s="79">
        <f>D48-D49</f>
        <v>1</v>
      </c>
      <c r="E50" s="101">
        <f t="shared" ref="E50:H50" si="1">E48-E49</f>
        <v>1073.69</v>
      </c>
      <c r="F50" s="79"/>
      <c r="G50" s="79">
        <f t="shared" si="1"/>
        <v>0</v>
      </c>
      <c r="H50" s="101">
        <f t="shared" si="1"/>
        <v>0</v>
      </c>
    </row>
    <row r="51" spans="1:14" x14ac:dyDescent="0.3">
      <c r="A51" s="91"/>
      <c r="B51" s="77" t="s">
        <v>83</v>
      </c>
      <c r="C51" s="79"/>
      <c r="D51" s="68" t="s">
        <v>37</v>
      </c>
      <c r="E51" s="93" t="s">
        <v>38</v>
      </c>
      <c r="F51" s="110"/>
      <c r="G51" s="68" t="s">
        <v>37</v>
      </c>
      <c r="H51" s="93" t="s">
        <v>38</v>
      </c>
      <c r="J51" s="115" t="s">
        <v>37</v>
      </c>
      <c r="K51" s="149" t="s">
        <v>38</v>
      </c>
      <c r="M51" s="151" t="s">
        <v>37</v>
      </c>
      <c r="N51" s="155" t="s">
        <v>38</v>
      </c>
    </row>
    <row r="52" spans="1:14" x14ac:dyDescent="0.3">
      <c r="A52" s="91"/>
      <c r="B52" s="67" t="s">
        <v>86</v>
      </c>
      <c r="C52" s="79"/>
      <c r="D52" s="79">
        <v>0</v>
      </c>
      <c r="E52" s="101">
        <v>0</v>
      </c>
      <c r="F52" s="110"/>
      <c r="G52" s="110">
        <v>0</v>
      </c>
      <c r="H52" s="84">
        <v>0</v>
      </c>
    </row>
    <row r="53" spans="1:14" x14ac:dyDescent="0.3">
      <c r="A53" s="91"/>
      <c r="B53" s="67" t="s">
        <v>87</v>
      </c>
      <c r="C53" s="79"/>
      <c r="D53" s="79">
        <v>0</v>
      </c>
      <c r="E53" s="101">
        <v>0</v>
      </c>
      <c r="F53" s="110"/>
      <c r="G53" s="110">
        <v>0</v>
      </c>
      <c r="H53" s="84">
        <v>0</v>
      </c>
    </row>
    <row r="54" spans="1:14" x14ac:dyDescent="0.3">
      <c r="A54" s="91"/>
      <c r="B54" s="67" t="s">
        <v>88</v>
      </c>
      <c r="C54" s="79"/>
      <c r="D54" s="79">
        <f>D52-D53</f>
        <v>0</v>
      </c>
      <c r="E54" s="101">
        <f t="shared" ref="E54:H54" si="2">E52-E53</f>
        <v>0</v>
      </c>
      <c r="F54" s="79"/>
      <c r="G54" s="79">
        <f t="shared" si="2"/>
        <v>0</v>
      </c>
      <c r="H54" s="101">
        <f t="shared" si="2"/>
        <v>0</v>
      </c>
    </row>
    <row r="55" spans="1:14" x14ac:dyDescent="0.3">
      <c r="A55" s="91"/>
      <c r="B55" s="77" t="s">
        <v>84</v>
      </c>
      <c r="C55" s="79"/>
      <c r="D55" s="68" t="s">
        <v>37</v>
      </c>
      <c r="E55" s="93" t="s">
        <v>38</v>
      </c>
      <c r="F55" s="110"/>
      <c r="G55" s="68" t="s">
        <v>37</v>
      </c>
      <c r="H55" s="93" t="s">
        <v>38</v>
      </c>
      <c r="J55" s="115" t="s">
        <v>37</v>
      </c>
      <c r="K55" s="149" t="s">
        <v>38</v>
      </c>
      <c r="M55" s="151" t="s">
        <v>37</v>
      </c>
      <c r="N55" s="155" t="s">
        <v>38</v>
      </c>
    </row>
    <row r="56" spans="1:14" x14ac:dyDescent="0.3">
      <c r="A56" s="91"/>
      <c r="B56" s="67" t="s">
        <v>90</v>
      </c>
      <c r="C56" s="79"/>
      <c r="D56" s="79">
        <f>D48+D52</f>
        <v>1</v>
      </c>
      <c r="E56" s="101">
        <f>E48+E52</f>
        <v>1073.69</v>
      </c>
      <c r="F56" s="79"/>
      <c r="G56" s="79">
        <f t="shared" ref="G56:H57" si="3">G48+G52</f>
        <v>0</v>
      </c>
      <c r="H56" s="101">
        <f t="shared" si="3"/>
        <v>0</v>
      </c>
    </row>
    <row r="57" spans="1:14" x14ac:dyDescent="0.3">
      <c r="A57" s="91"/>
      <c r="B57" s="67" t="s">
        <v>91</v>
      </c>
      <c r="C57" s="79"/>
      <c r="D57" s="79">
        <f>D49+D53</f>
        <v>0</v>
      </c>
      <c r="E57" s="101">
        <f>E49+E53</f>
        <v>0</v>
      </c>
      <c r="F57" s="79"/>
      <c r="G57" s="79">
        <f t="shared" si="3"/>
        <v>0</v>
      </c>
      <c r="H57" s="101">
        <f t="shared" si="3"/>
        <v>0</v>
      </c>
    </row>
    <row r="58" spans="1:14" x14ac:dyDescent="0.3">
      <c r="A58" s="91"/>
      <c r="B58" s="67" t="s">
        <v>92</v>
      </c>
      <c r="C58" s="79"/>
      <c r="D58" s="79">
        <f>D56-D57</f>
        <v>1</v>
      </c>
      <c r="E58" s="101">
        <f t="shared" ref="E58:H58" si="4">E56-E57</f>
        <v>1073.69</v>
      </c>
      <c r="F58" s="79"/>
      <c r="G58" s="79">
        <f t="shared" si="4"/>
        <v>0</v>
      </c>
      <c r="H58" s="101">
        <f t="shared" si="4"/>
        <v>0</v>
      </c>
    </row>
    <row r="59" spans="1:14" x14ac:dyDescent="0.3">
      <c r="A59" s="91"/>
      <c r="B59" s="69" t="s">
        <v>74</v>
      </c>
      <c r="C59" s="79"/>
      <c r="D59" s="79"/>
      <c r="E59" s="101"/>
      <c r="F59" s="110"/>
      <c r="G59" s="110"/>
      <c r="H59" s="84"/>
    </row>
    <row r="60" spans="1:14" x14ac:dyDescent="0.3">
      <c r="A60" s="91"/>
      <c r="B60" s="63" t="s">
        <v>75</v>
      </c>
      <c r="C60" s="79"/>
      <c r="D60" s="79"/>
      <c r="E60" s="101"/>
      <c r="F60" s="110"/>
      <c r="G60" s="110"/>
      <c r="H60" s="84"/>
    </row>
    <row r="61" spans="1:14" ht="28.8" x14ac:dyDescent="0.3">
      <c r="A61" s="91"/>
      <c r="B61" s="63" t="s">
        <v>80</v>
      </c>
      <c r="C61" s="79"/>
      <c r="D61" s="79"/>
      <c r="E61" s="101"/>
      <c r="F61" s="110"/>
      <c r="G61" s="110"/>
      <c r="H61" s="84"/>
    </row>
    <row r="62" spans="1:14" ht="28.8" x14ac:dyDescent="0.3">
      <c r="B62" s="63" t="s">
        <v>81</v>
      </c>
      <c r="C62" s="80"/>
      <c r="D62" s="80"/>
      <c r="E62" s="102"/>
      <c r="F62" s="110"/>
      <c r="G62" s="110"/>
      <c r="H62" s="84"/>
    </row>
    <row r="63" spans="1:14" ht="28.8" x14ac:dyDescent="0.3">
      <c r="B63" s="63" t="s">
        <v>82</v>
      </c>
      <c r="C63" s="80"/>
      <c r="D63" s="80"/>
      <c r="E63" s="102"/>
      <c r="F63" s="110"/>
      <c r="G63" s="110"/>
      <c r="H63" s="84"/>
    </row>
    <row r="67" spans="2:14" x14ac:dyDescent="0.3">
      <c r="B67" s="77" t="s">
        <v>32</v>
      </c>
    </row>
    <row r="68" spans="2:14" x14ac:dyDescent="0.3">
      <c r="B68" s="63" t="s">
        <v>34</v>
      </c>
      <c r="D68" s="63">
        <v>23264</v>
      </c>
      <c r="E68" s="103">
        <v>89052172</v>
      </c>
      <c r="G68" s="105">
        <v>23101</v>
      </c>
      <c r="H68" s="119">
        <v>88309358</v>
      </c>
      <c r="J68" s="105">
        <v>24463</v>
      </c>
      <c r="K68" s="150">
        <v>94253051</v>
      </c>
      <c r="M68" s="116">
        <v>24300</v>
      </c>
      <c r="N68" s="156">
        <v>92389013</v>
      </c>
    </row>
  </sheetData>
  <mergeCells count="4">
    <mergeCell ref="C2:E2"/>
    <mergeCell ref="F2:H2"/>
    <mergeCell ref="I2:K2"/>
    <mergeCell ref="L2:N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>
    <tabColor theme="9"/>
  </sheetPr>
  <dimension ref="A1:N68"/>
  <sheetViews>
    <sheetView zoomScale="80" zoomScaleNormal="80" workbookViewId="0">
      <pane xSplit="2" ySplit="2" topLeftCell="I3" activePane="bottomRight" state="frozen"/>
      <selection activeCell="I1" sqref="I1:K68"/>
      <selection pane="topRight" activeCell="I1" sqref="I1:K68"/>
      <selection pane="bottomLeft" activeCell="I1" sqref="I1:K68"/>
      <selection pane="bottomRight" activeCell="N3" sqref="N3"/>
    </sheetView>
  </sheetViews>
  <sheetFormatPr baseColWidth="10" defaultColWidth="11.44140625" defaultRowHeight="14.4" x14ac:dyDescent="0.3"/>
  <cols>
    <col min="1" max="1" width="40.6640625" style="63" customWidth="1"/>
    <col min="2" max="2" width="53.6640625" style="63" customWidth="1"/>
    <col min="3" max="4" width="17.5546875" style="63" customWidth="1"/>
    <col min="5" max="5" width="17.5546875" style="103" customWidth="1"/>
    <col min="6" max="7" width="17.5546875" style="109" customWidth="1"/>
    <col min="8" max="8" width="17.5546875" style="92" customWidth="1"/>
    <col min="9" max="10" width="15.6640625" style="147" customWidth="1"/>
    <col min="11" max="11" width="15.6640625" style="148" customWidth="1"/>
    <col min="12" max="13" width="15.6640625" style="151" customWidth="1"/>
    <col min="14" max="14" width="15.6640625" style="155" customWidth="1"/>
    <col min="15" max="16384" width="11.44140625" style="109"/>
  </cols>
  <sheetData>
    <row r="1" spans="1:14" x14ac:dyDescent="0.3">
      <c r="A1" s="72" t="s">
        <v>36</v>
      </c>
      <c r="B1" s="75" t="s">
        <v>35</v>
      </c>
      <c r="C1" s="109"/>
      <c r="D1" s="109"/>
      <c r="E1" s="92"/>
    </row>
    <row r="2" spans="1:14" x14ac:dyDescent="0.3">
      <c r="A2" s="69" t="s">
        <v>54</v>
      </c>
      <c r="B2" s="69" t="s">
        <v>29</v>
      </c>
      <c r="C2" s="163" t="s">
        <v>39</v>
      </c>
      <c r="D2" s="163"/>
      <c r="E2" s="163"/>
      <c r="F2" s="163" t="s">
        <v>40</v>
      </c>
      <c r="G2" s="163"/>
      <c r="H2" s="163"/>
      <c r="I2" s="164" t="s">
        <v>41</v>
      </c>
      <c r="J2" s="164"/>
      <c r="K2" s="164"/>
      <c r="L2" s="164" t="s">
        <v>176</v>
      </c>
      <c r="M2" s="164"/>
      <c r="N2" s="164"/>
    </row>
    <row r="3" spans="1:14" x14ac:dyDescent="0.3">
      <c r="B3" s="76" t="s">
        <v>42</v>
      </c>
      <c r="C3" s="66"/>
      <c r="D3" s="68" t="s">
        <v>37</v>
      </c>
      <c r="E3" s="93" t="s">
        <v>38</v>
      </c>
      <c r="F3" s="66"/>
      <c r="G3" s="68" t="s">
        <v>37</v>
      </c>
      <c r="H3" s="93" t="s">
        <v>38</v>
      </c>
      <c r="J3" s="115" t="s">
        <v>37</v>
      </c>
      <c r="K3" s="149" t="s">
        <v>38</v>
      </c>
      <c r="M3" s="151" t="s">
        <v>37</v>
      </c>
      <c r="N3" s="155" t="s">
        <v>38</v>
      </c>
    </row>
    <row r="4" spans="1:14" x14ac:dyDescent="0.3">
      <c r="A4" s="91"/>
      <c r="B4" s="67" t="s">
        <v>45</v>
      </c>
      <c r="C4" s="66"/>
      <c r="D4" s="70">
        <v>0</v>
      </c>
      <c r="E4" s="94">
        <v>0</v>
      </c>
      <c r="F4" s="66"/>
      <c r="G4" s="70">
        <v>0</v>
      </c>
      <c r="H4" s="98">
        <v>0</v>
      </c>
    </row>
    <row r="5" spans="1:14" ht="28.8" x14ac:dyDescent="0.3">
      <c r="A5" s="130"/>
      <c r="B5" s="67" t="s">
        <v>77</v>
      </c>
      <c r="C5" s="66"/>
      <c r="D5" s="86">
        <v>0</v>
      </c>
      <c r="E5" s="131">
        <v>0</v>
      </c>
      <c r="F5" s="66"/>
      <c r="G5" s="70">
        <v>0</v>
      </c>
      <c r="H5" s="98">
        <v>0</v>
      </c>
    </row>
    <row r="6" spans="1:14" ht="28.8" x14ac:dyDescent="0.3">
      <c r="A6" s="130" t="s">
        <v>133</v>
      </c>
      <c r="B6" s="67" t="s">
        <v>46</v>
      </c>
      <c r="C6" s="66"/>
      <c r="D6" s="86">
        <v>384749</v>
      </c>
      <c r="E6" s="131">
        <v>29969692</v>
      </c>
      <c r="F6" s="66"/>
      <c r="G6" s="83">
        <v>502556</v>
      </c>
      <c r="H6" s="117">
        <v>39510213</v>
      </c>
      <c r="J6" s="105">
        <v>584232</v>
      </c>
      <c r="K6" s="150">
        <v>45245214</v>
      </c>
      <c r="M6" s="116">
        <v>558984</v>
      </c>
      <c r="N6" s="156">
        <v>43592126</v>
      </c>
    </row>
    <row r="7" spans="1:14" ht="28.8" x14ac:dyDescent="0.3">
      <c r="A7" s="130" t="s">
        <v>135</v>
      </c>
      <c r="B7" s="67" t="s">
        <v>47</v>
      </c>
      <c r="C7" s="66"/>
      <c r="D7" s="86">
        <v>18577</v>
      </c>
      <c r="E7" s="131">
        <v>1997675</v>
      </c>
      <c r="F7" s="66"/>
      <c r="G7" s="83">
        <v>27480</v>
      </c>
      <c r="H7" s="117">
        <v>2887130</v>
      </c>
      <c r="J7" s="105">
        <v>33421</v>
      </c>
      <c r="K7" s="150">
        <v>3818774</v>
      </c>
      <c r="M7" s="116">
        <v>28966</v>
      </c>
      <c r="N7" s="156">
        <v>3748432</v>
      </c>
    </row>
    <row r="8" spans="1:14" x14ac:dyDescent="0.3">
      <c r="A8" s="130"/>
      <c r="B8" s="67" t="s">
        <v>48</v>
      </c>
      <c r="C8" s="66"/>
      <c r="D8" s="86">
        <f>SUM(D4:D7)</f>
        <v>403326</v>
      </c>
      <c r="E8" s="131">
        <f>SUM(E4:E7)</f>
        <v>31967367</v>
      </c>
      <c r="F8" s="66"/>
      <c r="G8" s="83">
        <f>SUM(G4:G7)</f>
        <v>530036</v>
      </c>
      <c r="H8" s="117">
        <f>SUM(H4:H7)</f>
        <v>42397343</v>
      </c>
      <c r="J8" s="105">
        <f>SUM(J4:J7)</f>
        <v>617653</v>
      </c>
      <c r="K8" s="150">
        <f>SUM(K4:K7)</f>
        <v>49063988</v>
      </c>
      <c r="M8" s="116">
        <f>SUM(M4:M7)</f>
        <v>587950</v>
      </c>
      <c r="N8" s="156">
        <f>SUM(N4:N7)</f>
        <v>47340558</v>
      </c>
    </row>
    <row r="9" spans="1:14" x14ac:dyDescent="0.3">
      <c r="A9" s="91"/>
      <c r="B9" s="76" t="s">
        <v>43</v>
      </c>
      <c r="C9" s="66"/>
      <c r="D9" s="68" t="s">
        <v>37</v>
      </c>
      <c r="E9" s="93" t="s">
        <v>38</v>
      </c>
      <c r="F9" s="66"/>
      <c r="G9" s="68" t="s">
        <v>37</v>
      </c>
      <c r="H9" s="93" t="s">
        <v>38</v>
      </c>
      <c r="J9" s="115" t="s">
        <v>37</v>
      </c>
      <c r="K9" s="149" t="s">
        <v>38</v>
      </c>
      <c r="M9" s="151" t="s">
        <v>37</v>
      </c>
      <c r="N9" s="155" t="s">
        <v>38</v>
      </c>
    </row>
    <row r="10" spans="1:14" ht="28.8" x14ac:dyDescent="0.3">
      <c r="A10" s="91" t="s">
        <v>57</v>
      </c>
      <c r="B10" s="78"/>
      <c r="C10" s="67"/>
      <c r="D10" s="88">
        <v>84</v>
      </c>
      <c r="E10" s="95">
        <v>20488</v>
      </c>
      <c r="F10" s="67"/>
      <c r="G10" s="81">
        <v>113</v>
      </c>
      <c r="H10" s="118">
        <v>29532</v>
      </c>
      <c r="J10" s="147">
        <v>3</v>
      </c>
      <c r="K10" s="148">
        <v>3045</v>
      </c>
      <c r="M10" s="151">
        <v>5</v>
      </c>
      <c r="N10" s="155">
        <v>1163</v>
      </c>
    </row>
    <row r="11" spans="1:14" ht="28.8" x14ac:dyDescent="0.3">
      <c r="A11" s="130" t="s">
        <v>134</v>
      </c>
      <c r="B11" s="78"/>
      <c r="C11" s="67"/>
      <c r="D11" s="88">
        <v>918851</v>
      </c>
      <c r="E11" s="132">
        <v>308609481</v>
      </c>
      <c r="F11" s="67"/>
      <c r="G11" s="81">
        <v>1223794</v>
      </c>
      <c r="H11" s="118">
        <v>425843031</v>
      </c>
      <c r="J11" s="147">
        <v>1387248</v>
      </c>
      <c r="K11" s="148">
        <v>501078959</v>
      </c>
      <c r="M11" s="151">
        <v>1204558</v>
      </c>
      <c r="N11" s="155">
        <v>440515764</v>
      </c>
    </row>
    <row r="12" spans="1:14" ht="28.8" x14ac:dyDescent="0.3">
      <c r="A12" s="130" t="s">
        <v>53</v>
      </c>
      <c r="B12" s="78"/>
      <c r="C12" s="67"/>
      <c r="D12" s="88">
        <v>28789</v>
      </c>
      <c r="E12" s="132">
        <v>5189735</v>
      </c>
      <c r="F12" s="67"/>
      <c r="G12" s="81">
        <v>44562</v>
      </c>
      <c r="H12" s="118">
        <v>7500116</v>
      </c>
      <c r="J12" s="147">
        <v>49126</v>
      </c>
      <c r="K12" s="148">
        <v>8409557</v>
      </c>
      <c r="M12" s="151">
        <v>41684</v>
      </c>
      <c r="N12" s="155">
        <v>7136972</v>
      </c>
    </row>
    <row r="13" spans="1:14" ht="28.8" x14ac:dyDescent="0.3">
      <c r="A13" s="91" t="s">
        <v>55</v>
      </c>
      <c r="B13" s="78"/>
      <c r="C13" s="67"/>
      <c r="D13" s="88">
        <v>2755</v>
      </c>
      <c r="E13" s="95">
        <v>4638152</v>
      </c>
      <c r="F13" s="67"/>
      <c r="G13" s="81">
        <v>13618</v>
      </c>
      <c r="H13" s="118">
        <v>24717454</v>
      </c>
      <c r="J13" s="147">
        <v>73062</v>
      </c>
      <c r="K13" s="148">
        <v>51838342</v>
      </c>
      <c r="M13" s="151">
        <v>87906</v>
      </c>
      <c r="N13" s="155">
        <v>49833893</v>
      </c>
    </row>
    <row r="14" spans="1:14" ht="43.2" x14ac:dyDescent="0.3">
      <c r="A14" s="91" t="s">
        <v>52</v>
      </c>
      <c r="B14" s="67" t="s">
        <v>45</v>
      </c>
      <c r="C14" s="66"/>
      <c r="D14" s="86">
        <f>D10+D11</f>
        <v>918935</v>
      </c>
      <c r="E14" s="94">
        <f>E10+E11</f>
        <v>308629969</v>
      </c>
      <c r="F14" s="66"/>
      <c r="G14" s="83">
        <f>G10+G11</f>
        <v>1223907</v>
      </c>
      <c r="H14" s="117">
        <f>H10+H11</f>
        <v>425872563</v>
      </c>
      <c r="J14" s="105">
        <v>1387251</v>
      </c>
      <c r="K14" s="150">
        <v>501082004</v>
      </c>
      <c r="M14" s="116">
        <v>1204563</v>
      </c>
      <c r="N14" s="156">
        <v>440516927</v>
      </c>
    </row>
    <row r="15" spans="1:14" ht="28.8" x14ac:dyDescent="0.3">
      <c r="A15" s="130"/>
      <c r="B15" s="67" t="s">
        <v>77</v>
      </c>
      <c r="C15" s="66"/>
      <c r="D15" s="86">
        <v>0</v>
      </c>
      <c r="E15" s="131">
        <v>0</v>
      </c>
      <c r="F15" s="66"/>
      <c r="G15" s="83">
        <v>0</v>
      </c>
      <c r="H15" s="117">
        <v>0</v>
      </c>
    </row>
    <row r="16" spans="1:14" ht="28.8" x14ac:dyDescent="0.3">
      <c r="A16" s="130" t="s">
        <v>53</v>
      </c>
      <c r="B16" s="67" t="s">
        <v>46</v>
      </c>
      <c r="C16" s="66"/>
      <c r="D16" s="86">
        <f>D12</f>
        <v>28789</v>
      </c>
      <c r="E16" s="131">
        <f>E12</f>
        <v>5189735</v>
      </c>
      <c r="F16" s="66"/>
      <c r="G16" s="83">
        <f>G12</f>
        <v>44562</v>
      </c>
      <c r="H16" s="117">
        <f>H12</f>
        <v>7500116</v>
      </c>
      <c r="J16" s="105">
        <v>49126</v>
      </c>
      <c r="K16" s="150">
        <v>8409557</v>
      </c>
      <c r="M16" s="116">
        <v>41684</v>
      </c>
      <c r="N16" s="156">
        <v>7136972</v>
      </c>
    </row>
    <row r="17" spans="1:14" ht="28.8" x14ac:dyDescent="0.3">
      <c r="A17" s="91" t="s">
        <v>55</v>
      </c>
      <c r="B17" s="67" t="s">
        <v>47</v>
      </c>
      <c r="C17" s="66"/>
      <c r="D17" s="86">
        <f>D13</f>
        <v>2755</v>
      </c>
      <c r="E17" s="94">
        <f>E13</f>
        <v>4638152</v>
      </c>
      <c r="F17" s="66"/>
      <c r="G17" s="83">
        <f>G13</f>
        <v>13618</v>
      </c>
      <c r="H17" s="117">
        <f>H13</f>
        <v>24717454</v>
      </c>
      <c r="J17" s="105">
        <v>73062</v>
      </c>
      <c r="K17" s="150">
        <v>51838342</v>
      </c>
      <c r="M17" s="116">
        <v>87906</v>
      </c>
      <c r="N17" s="156">
        <v>49833893</v>
      </c>
    </row>
    <row r="18" spans="1:14" x14ac:dyDescent="0.3">
      <c r="A18" s="91"/>
      <c r="B18" s="67" t="s">
        <v>49</v>
      </c>
      <c r="C18" s="66"/>
      <c r="D18" s="86">
        <f>SUM(D14:D17)</f>
        <v>950479</v>
      </c>
      <c r="E18" s="94">
        <f>SUM(E14:E17)</f>
        <v>318457856</v>
      </c>
      <c r="F18" s="66"/>
      <c r="G18" s="83">
        <f>SUM(G14:G17)</f>
        <v>1282087</v>
      </c>
      <c r="H18" s="117">
        <f>SUM(H14:H17)</f>
        <v>458090133</v>
      </c>
      <c r="J18" s="105">
        <f>SUM(J14:J17)</f>
        <v>1509439</v>
      </c>
      <c r="K18" s="150">
        <f>SUM(K14:K17)</f>
        <v>561329903</v>
      </c>
      <c r="M18" s="116">
        <f>SUM(M14:M17)</f>
        <v>1334153</v>
      </c>
      <c r="N18" s="156">
        <f>SUM(N14:N17)</f>
        <v>497487792</v>
      </c>
    </row>
    <row r="19" spans="1:14" x14ac:dyDescent="0.3">
      <c r="A19" s="130"/>
      <c r="B19" s="71" t="s">
        <v>44</v>
      </c>
      <c r="C19" s="66"/>
      <c r="D19" s="85"/>
      <c r="E19" s="133"/>
      <c r="F19" s="66"/>
      <c r="G19" s="66"/>
      <c r="H19" s="97"/>
    </row>
    <row r="20" spans="1:14" ht="57.6" x14ac:dyDescent="0.3">
      <c r="A20" s="130" t="s">
        <v>56</v>
      </c>
      <c r="B20" s="67" t="s">
        <v>50</v>
      </c>
      <c r="C20" s="66"/>
      <c r="D20" s="86">
        <f>D11+D12+D13</f>
        <v>950395</v>
      </c>
      <c r="E20" s="131">
        <f>E11+E12+E13</f>
        <v>318437368</v>
      </c>
      <c r="F20" s="66"/>
      <c r="G20" s="83">
        <f>G11+G12+G13</f>
        <v>1281974</v>
      </c>
      <c r="H20" s="117">
        <f>H11+H12+H13</f>
        <v>458060601</v>
      </c>
      <c r="J20" s="105">
        <v>1509436</v>
      </c>
      <c r="K20" s="150">
        <v>561326858</v>
      </c>
      <c r="M20" s="116">
        <v>1334148</v>
      </c>
      <c r="N20" s="156">
        <v>497486629</v>
      </c>
    </row>
    <row r="21" spans="1:14" ht="28.8" x14ac:dyDescent="0.3">
      <c r="A21" s="91" t="s">
        <v>57</v>
      </c>
      <c r="B21" s="67" t="s">
        <v>51</v>
      </c>
      <c r="C21" s="66"/>
      <c r="D21" s="86">
        <f>D10</f>
        <v>84</v>
      </c>
      <c r="E21" s="94">
        <f>E10</f>
        <v>20488</v>
      </c>
      <c r="F21" s="66"/>
      <c r="G21" s="83">
        <f>G10</f>
        <v>113</v>
      </c>
      <c r="H21" s="117">
        <f>H10</f>
        <v>29532</v>
      </c>
      <c r="J21" s="105">
        <v>3</v>
      </c>
      <c r="K21" s="150">
        <v>3045</v>
      </c>
      <c r="M21" s="116">
        <v>5</v>
      </c>
      <c r="N21" s="156">
        <v>1163</v>
      </c>
    </row>
    <row r="22" spans="1:14" x14ac:dyDescent="0.3">
      <c r="A22" s="91"/>
      <c r="B22" s="76" t="s">
        <v>58</v>
      </c>
      <c r="C22" s="66"/>
      <c r="D22" s="68" t="s">
        <v>37</v>
      </c>
      <c r="E22" s="93" t="s">
        <v>38</v>
      </c>
      <c r="F22" s="66"/>
      <c r="G22" s="68" t="s">
        <v>37</v>
      </c>
      <c r="H22" s="93" t="s">
        <v>38</v>
      </c>
      <c r="J22" s="115" t="s">
        <v>37</v>
      </c>
      <c r="K22" s="149" t="s">
        <v>38</v>
      </c>
      <c r="M22" s="151" t="s">
        <v>37</v>
      </c>
      <c r="N22" s="155" t="s">
        <v>38</v>
      </c>
    </row>
    <row r="23" spans="1:14" x14ac:dyDescent="0.3">
      <c r="A23" s="130"/>
      <c r="B23" s="67" t="s">
        <v>45</v>
      </c>
      <c r="C23" s="66"/>
      <c r="D23" s="85"/>
      <c r="E23" s="133"/>
      <c r="F23" s="66"/>
      <c r="G23" s="66"/>
      <c r="H23" s="97"/>
    </row>
    <row r="24" spans="1:14" ht="28.8" x14ac:dyDescent="0.3">
      <c r="A24" s="130"/>
      <c r="B24" s="67" t="s">
        <v>77</v>
      </c>
      <c r="C24" s="66"/>
      <c r="D24" s="85"/>
      <c r="E24" s="133"/>
      <c r="F24" s="66"/>
      <c r="G24" s="66"/>
      <c r="H24" s="97"/>
    </row>
    <row r="25" spans="1:14" x14ac:dyDescent="0.3">
      <c r="A25" s="91"/>
      <c r="B25" s="63" t="s">
        <v>46</v>
      </c>
      <c r="C25" s="64"/>
      <c r="D25" s="89"/>
      <c r="E25" s="96"/>
      <c r="F25" s="64"/>
      <c r="G25" s="64"/>
      <c r="H25" s="97"/>
    </row>
    <row r="26" spans="1:14" x14ac:dyDescent="0.3">
      <c r="A26" s="91"/>
      <c r="B26" s="63" t="s">
        <v>47</v>
      </c>
      <c r="C26" s="64"/>
      <c r="D26" s="64"/>
      <c r="E26" s="97"/>
      <c r="F26" s="64"/>
      <c r="G26" s="64"/>
      <c r="H26" s="97"/>
    </row>
    <row r="27" spans="1:14" x14ac:dyDescent="0.3">
      <c r="A27" s="91"/>
      <c r="B27" s="63" t="s">
        <v>60</v>
      </c>
      <c r="C27" s="64"/>
      <c r="D27" s="64"/>
      <c r="E27" s="97"/>
      <c r="F27" s="64"/>
      <c r="G27" s="64"/>
      <c r="H27" s="97"/>
    </row>
    <row r="28" spans="1:14" x14ac:dyDescent="0.3">
      <c r="A28" s="91"/>
      <c r="B28" s="77" t="s">
        <v>59</v>
      </c>
      <c r="C28" s="65" t="s">
        <v>30</v>
      </c>
      <c r="D28" s="65" t="s">
        <v>72</v>
      </c>
      <c r="E28" s="93" t="s">
        <v>31</v>
      </c>
      <c r="F28" s="65" t="s">
        <v>30</v>
      </c>
      <c r="G28" s="65" t="s">
        <v>72</v>
      </c>
      <c r="H28" s="93" t="s">
        <v>31</v>
      </c>
      <c r="I28" s="115" t="s">
        <v>30</v>
      </c>
      <c r="J28" s="115" t="s">
        <v>72</v>
      </c>
      <c r="K28" s="149" t="s">
        <v>31</v>
      </c>
      <c r="L28" s="151" t="s">
        <v>30</v>
      </c>
      <c r="M28" s="151" t="s">
        <v>72</v>
      </c>
      <c r="N28" s="155" t="s">
        <v>31</v>
      </c>
    </row>
    <row r="29" spans="1:14" x14ac:dyDescent="0.3">
      <c r="A29" s="91"/>
      <c r="B29" s="63" t="s">
        <v>61</v>
      </c>
      <c r="C29" s="73">
        <v>148995</v>
      </c>
      <c r="D29" s="73">
        <v>988</v>
      </c>
      <c r="E29" s="98">
        <v>149983</v>
      </c>
      <c r="F29" s="104">
        <v>226426</v>
      </c>
      <c r="G29" s="104">
        <v>1249</v>
      </c>
      <c r="H29" s="117">
        <v>227675</v>
      </c>
      <c r="I29" s="105">
        <f t="shared" ref="I29:N29" si="0">F34</f>
        <v>289011</v>
      </c>
      <c r="J29" s="105">
        <f t="shared" si="0"/>
        <v>1791</v>
      </c>
      <c r="K29" s="150">
        <f t="shared" si="0"/>
        <v>290802</v>
      </c>
      <c r="L29" s="116">
        <f t="shared" si="0"/>
        <v>351828</v>
      </c>
      <c r="M29" s="116">
        <f t="shared" si="0"/>
        <v>2026</v>
      </c>
      <c r="N29" s="156">
        <f t="shared" si="0"/>
        <v>353854</v>
      </c>
    </row>
    <row r="30" spans="1:14" x14ac:dyDescent="0.3">
      <c r="A30" s="91" t="s">
        <v>95</v>
      </c>
      <c r="B30" s="63" t="s">
        <v>62</v>
      </c>
      <c r="C30" s="110"/>
      <c r="D30" s="110"/>
      <c r="E30" s="84">
        <v>86615</v>
      </c>
      <c r="F30" s="110"/>
      <c r="G30" s="110"/>
      <c r="H30" s="119">
        <v>81233</v>
      </c>
      <c r="K30" s="150">
        <v>69241</v>
      </c>
      <c r="N30" s="156">
        <v>57755</v>
      </c>
    </row>
    <row r="31" spans="1:14" x14ac:dyDescent="0.3">
      <c r="A31" s="91"/>
      <c r="B31" s="63" t="s">
        <v>63</v>
      </c>
      <c r="C31" s="110"/>
      <c r="D31" s="110"/>
      <c r="E31" s="84"/>
      <c r="F31" s="110"/>
      <c r="G31" s="110"/>
      <c r="H31" s="84"/>
    </row>
    <row r="32" spans="1:14" ht="28.8" x14ac:dyDescent="0.3">
      <c r="A32" s="91" t="s">
        <v>68</v>
      </c>
      <c r="C32" s="110"/>
      <c r="D32" s="110"/>
      <c r="E32" s="84">
        <v>214497</v>
      </c>
      <c r="F32" s="110"/>
      <c r="G32" s="110"/>
      <c r="H32" s="119">
        <v>274308</v>
      </c>
      <c r="K32" s="148">
        <v>333309</v>
      </c>
      <c r="N32" s="155">
        <v>376594</v>
      </c>
    </row>
    <row r="33" spans="1:14" ht="28.8" x14ac:dyDescent="0.3">
      <c r="A33" s="91" t="s">
        <v>69</v>
      </c>
      <c r="C33" s="110"/>
      <c r="D33" s="110"/>
      <c r="E33" s="84">
        <v>13178</v>
      </c>
      <c r="F33" s="110"/>
      <c r="G33" s="110"/>
      <c r="H33" s="119">
        <v>16494</v>
      </c>
      <c r="K33" s="148">
        <v>20545</v>
      </c>
      <c r="N33" s="155">
        <v>23440</v>
      </c>
    </row>
    <row r="34" spans="1:14" ht="43.2" x14ac:dyDescent="0.3">
      <c r="A34" s="91" t="s">
        <v>73</v>
      </c>
      <c r="B34" s="63" t="s">
        <v>64</v>
      </c>
      <c r="C34" s="110">
        <f>E34-D34</f>
        <v>226426</v>
      </c>
      <c r="D34" s="110">
        <v>1249</v>
      </c>
      <c r="E34" s="84">
        <f>SUM(E32:E33)</f>
        <v>227675</v>
      </c>
      <c r="F34" s="105">
        <f>H34-G34</f>
        <v>289011</v>
      </c>
      <c r="G34" s="105">
        <v>1791</v>
      </c>
      <c r="H34" s="119">
        <f>SUM(H32:H33)</f>
        <v>290802</v>
      </c>
      <c r="I34" s="105">
        <f>K34-J34</f>
        <v>351828</v>
      </c>
      <c r="J34" s="105">
        <v>2026</v>
      </c>
      <c r="K34" s="150">
        <f>SUM(K32:K33)</f>
        <v>353854</v>
      </c>
      <c r="L34" s="116">
        <f>N34-M34</f>
        <v>397784</v>
      </c>
      <c r="M34" s="116">
        <v>2250</v>
      </c>
      <c r="N34" s="156">
        <f>SUM(N32:N33)</f>
        <v>400034</v>
      </c>
    </row>
    <row r="35" spans="1:14" ht="28.8" x14ac:dyDescent="0.3">
      <c r="A35" s="91" t="s">
        <v>96</v>
      </c>
      <c r="C35" s="110"/>
      <c r="D35" s="110"/>
      <c r="E35" s="84">
        <v>95824</v>
      </c>
      <c r="F35" s="110"/>
      <c r="G35" s="110"/>
      <c r="H35" s="119">
        <v>122153</v>
      </c>
      <c r="K35" s="148">
        <v>52872</v>
      </c>
      <c r="N35" s="155">
        <v>46796</v>
      </c>
    </row>
    <row r="36" spans="1:14" ht="28.8" x14ac:dyDescent="0.3">
      <c r="A36" s="91" t="s">
        <v>97</v>
      </c>
      <c r="C36" s="110"/>
      <c r="D36" s="110"/>
      <c r="E36" s="84">
        <v>3263</v>
      </c>
      <c r="F36" s="110"/>
      <c r="G36" s="110"/>
      <c r="H36" s="119">
        <v>3788</v>
      </c>
      <c r="K36" s="148">
        <v>1568</v>
      </c>
      <c r="N36" s="155">
        <v>1360</v>
      </c>
    </row>
    <row r="37" spans="1:14" ht="28.8" x14ac:dyDescent="0.3">
      <c r="A37" s="91"/>
      <c r="B37" s="136" t="s">
        <v>78</v>
      </c>
      <c r="C37" s="91"/>
      <c r="D37" s="91"/>
      <c r="E37" s="100">
        <f>SUM(E35:E36)</f>
        <v>99087</v>
      </c>
      <c r="F37" s="110"/>
      <c r="G37" s="110"/>
      <c r="H37" s="119">
        <f>SUM(H35:H36)</f>
        <v>125941</v>
      </c>
      <c r="K37" s="150">
        <f>SUM(K35:K36)</f>
        <v>54440</v>
      </c>
      <c r="N37" s="156">
        <f>SUM(N35:N36)</f>
        <v>48156</v>
      </c>
    </row>
    <row r="38" spans="1:14" x14ac:dyDescent="0.3">
      <c r="A38" s="91"/>
      <c r="B38" s="136"/>
      <c r="C38" s="90"/>
      <c r="D38" s="90"/>
      <c r="E38" s="100">
        <v>0</v>
      </c>
      <c r="F38" s="110"/>
      <c r="G38" s="110"/>
      <c r="H38" s="119">
        <v>0</v>
      </c>
    </row>
    <row r="39" spans="1:14" x14ac:dyDescent="0.3">
      <c r="A39" s="130"/>
      <c r="B39" s="130"/>
      <c r="C39" s="134"/>
      <c r="D39" s="90"/>
      <c r="E39" s="100">
        <v>0</v>
      </c>
      <c r="F39" s="110"/>
      <c r="G39" s="110"/>
      <c r="H39" s="119">
        <v>0</v>
      </c>
    </row>
    <row r="40" spans="1:14" x14ac:dyDescent="0.3">
      <c r="A40" s="91"/>
      <c r="B40" s="136" t="s">
        <v>65</v>
      </c>
      <c r="C40" s="90">
        <f>C29-D29</f>
        <v>148007</v>
      </c>
      <c r="D40" s="90">
        <f>D29</f>
        <v>988</v>
      </c>
      <c r="E40" s="100">
        <f>C40+D40</f>
        <v>148995</v>
      </c>
      <c r="F40" s="105">
        <f>F29</f>
        <v>226426</v>
      </c>
      <c r="G40" s="105">
        <f>G29</f>
        <v>1249</v>
      </c>
      <c r="H40" s="119">
        <f>F40+G40</f>
        <v>227675</v>
      </c>
      <c r="I40" s="105">
        <f t="shared" ref="I40:N40" si="1">I29</f>
        <v>289011</v>
      </c>
      <c r="J40" s="105">
        <f t="shared" si="1"/>
        <v>1791</v>
      </c>
      <c r="K40" s="150">
        <f t="shared" si="1"/>
        <v>290802</v>
      </c>
      <c r="L40" s="116">
        <f t="shared" si="1"/>
        <v>351828</v>
      </c>
      <c r="M40" s="116">
        <f t="shared" si="1"/>
        <v>2026</v>
      </c>
      <c r="N40" s="156">
        <f t="shared" si="1"/>
        <v>353854</v>
      </c>
    </row>
    <row r="41" spans="1:14" x14ac:dyDescent="0.3">
      <c r="A41" s="91"/>
      <c r="B41" s="63" t="s">
        <v>66</v>
      </c>
      <c r="C41" s="110"/>
      <c r="D41" s="110"/>
      <c r="E41" s="84">
        <f>E30</f>
        <v>86615</v>
      </c>
      <c r="F41" s="110"/>
      <c r="G41" s="110"/>
      <c r="H41" s="119">
        <f>H30</f>
        <v>81233</v>
      </c>
      <c r="K41" s="150">
        <f>K30</f>
        <v>69241</v>
      </c>
      <c r="N41" s="156">
        <f>N30</f>
        <v>57755</v>
      </c>
    </row>
    <row r="42" spans="1:14" ht="28.8" x14ac:dyDescent="0.3">
      <c r="A42" s="91" t="s">
        <v>70</v>
      </c>
      <c r="C42" s="110"/>
      <c r="D42" s="110"/>
      <c r="E42" s="84"/>
      <c r="F42" s="110"/>
      <c r="G42" s="110"/>
      <c r="H42" s="119">
        <v>274350</v>
      </c>
      <c r="K42" s="148">
        <v>333356</v>
      </c>
      <c r="N42" s="155">
        <v>376639</v>
      </c>
    </row>
    <row r="43" spans="1:14" ht="28.8" x14ac:dyDescent="0.3">
      <c r="A43" s="91" t="s">
        <v>71</v>
      </c>
      <c r="C43" s="110"/>
      <c r="D43" s="110"/>
      <c r="E43" s="84"/>
      <c r="F43" s="110"/>
      <c r="G43" s="110"/>
      <c r="H43" s="119">
        <v>16495</v>
      </c>
      <c r="K43" s="148">
        <v>20545</v>
      </c>
      <c r="N43" s="155">
        <v>23440</v>
      </c>
    </row>
    <row r="44" spans="1:14" x14ac:dyDescent="0.3">
      <c r="A44" s="91"/>
      <c r="B44" s="63" t="s">
        <v>67</v>
      </c>
      <c r="C44" s="110">
        <f>C34</f>
        <v>226426</v>
      </c>
      <c r="D44" s="110">
        <f>D34</f>
        <v>1249</v>
      </c>
      <c r="E44" s="84">
        <f>E34</f>
        <v>227675</v>
      </c>
      <c r="F44" s="105">
        <f>H44-G44</f>
        <v>289445</v>
      </c>
      <c r="G44" s="105">
        <v>1400</v>
      </c>
      <c r="H44" s="119">
        <f>H43+H42</f>
        <v>290845</v>
      </c>
      <c r="I44" s="105">
        <f>K44-J44</f>
        <v>352269</v>
      </c>
      <c r="J44" s="105">
        <v>1632</v>
      </c>
      <c r="K44" s="150">
        <f>SUM(K42:K43)</f>
        <v>353901</v>
      </c>
      <c r="L44" s="116">
        <f>N44-M44</f>
        <v>398524</v>
      </c>
      <c r="M44" s="116">
        <v>1555</v>
      </c>
      <c r="N44" s="156">
        <f>SUM(N42:N43)</f>
        <v>400079</v>
      </c>
    </row>
    <row r="45" spans="1:14" ht="28.8" x14ac:dyDescent="0.3">
      <c r="A45" s="91"/>
      <c r="B45" s="63" t="s">
        <v>79</v>
      </c>
      <c r="C45" s="110"/>
      <c r="D45" s="110"/>
      <c r="E45" s="84">
        <f>E44</f>
        <v>227675</v>
      </c>
      <c r="F45" s="110"/>
      <c r="G45" s="110"/>
      <c r="H45" s="119">
        <f>H44</f>
        <v>290845</v>
      </c>
      <c r="K45" s="150">
        <f>K44</f>
        <v>353901</v>
      </c>
      <c r="N45" s="156">
        <f>N44</f>
        <v>400079</v>
      </c>
    </row>
    <row r="46" spans="1:14" x14ac:dyDescent="0.3">
      <c r="A46" s="91"/>
      <c r="B46" s="69" t="s">
        <v>89</v>
      </c>
      <c r="C46" s="110"/>
      <c r="D46" s="110"/>
      <c r="E46" s="84"/>
      <c r="F46" s="110"/>
      <c r="G46" s="110"/>
      <c r="H46" s="84"/>
    </row>
    <row r="47" spans="1:14" x14ac:dyDescent="0.3">
      <c r="A47" s="91"/>
      <c r="B47" s="77" t="s">
        <v>76</v>
      </c>
      <c r="C47" s="79"/>
      <c r="D47" s="68" t="s">
        <v>37</v>
      </c>
      <c r="E47" s="93" t="s">
        <v>38</v>
      </c>
      <c r="F47" s="110"/>
      <c r="G47" s="68" t="s">
        <v>37</v>
      </c>
      <c r="H47" s="93" t="s">
        <v>38</v>
      </c>
      <c r="J47" s="115" t="s">
        <v>37</v>
      </c>
      <c r="K47" s="149" t="s">
        <v>38</v>
      </c>
      <c r="M47" s="151" t="s">
        <v>37</v>
      </c>
      <c r="N47" s="155" t="s">
        <v>38</v>
      </c>
    </row>
    <row r="48" spans="1:14" x14ac:dyDescent="0.3">
      <c r="A48" s="91"/>
      <c r="B48" s="67" t="s">
        <v>85</v>
      </c>
      <c r="C48" s="79"/>
      <c r="D48" s="79">
        <v>0</v>
      </c>
      <c r="E48" s="101">
        <v>0</v>
      </c>
      <c r="F48" s="110"/>
      <c r="G48" s="110">
        <v>0</v>
      </c>
      <c r="H48" s="84">
        <v>0</v>
      </c>
    </row>
    <row r="49" spans="1:14" x14ac:dyDescent="0.3">
      <c r="A49" s="91"/>
      <c r="B49" s="67" t="s">
        <v>87</v>
      </c>
      <c r="C49" s="79"/>
      <c r="D49" s="79">
        <v>0</v>
      </c>
      <c r="E49" s="101">
        <v>0</v>
      </c>
      <c r="F49" s="110"/>
      <c r="G49" s="110">
        <v>0</v>
      </c>
      <c r="H49" s="84">
        <v>0</v>
      </c>
    </row>
    <row r="50" spans="1:14" x14ac:dyDescent="0.3">
      <c r="A50" s="91"/>
      <c r="B50" s="67" t="s">
        <v>88</v>
      </c>
      <c r="C50" s="79"/>
      <c r="D50" s="79">
        <f>D48-D49</f>
        <v>0</v>
      </c>
      <c r="E50" s="101">
        <f t="shared" ref="E50:H50" si="2">E48-E49</f>
        <v>0</v>
      </c>
      <c r="F50" s="79"/>
      <c r="G50" s="79">
        <f t="shared" si="2"/>
        <v>0</v>
      </c>
      <c r="H50" s="101">
        <f t="shared" si="2"/>
        <v>0</v>
      </c>
    </row>
    <row r="51" spans="1:14" x14ac:dyDescent="0.3">
      <c r="B51" s="77" t="s">
        <v>83</v>
      </c>
      <c r="C51" s="79"/>
      <c r="D51" s="68" t="s">
        <v>37</v>
      </c>
      <c r="E51" s="93" t="s">
        <v>38</v>
      </c>
      <c r="F51" s="110"/>
      <c r="G51" s="68" t="s">
        <v>37</v>
      </c>
      <c r="H51" s="93" t="s">
        <v>38</v>
      </c>
      <c r="J51" s="115" t="s">
        <v>37</v>
      </c>
      <c r="K51" s="149" t="s">
        <v>38</v>
      </c>
      <c r="M51" s="151" t="s">
        <v>37</v>
      </c>
      <c r="N51" s="155" t="s">
        <v>38</v>
      </c>
    </row>
    <row r="52" spans="1:14" x14ac:dyDescent="0.3">
      <c r="B52" s="67" t="s">
        <v>86</v>
      </c>
      <c r="C52" s="79"/>
      <c r="D52" s="79">
        <v>0</v>
      </c>
      <c r="E52" s="101">
        <v>0</v>
      </c>
      <c r="F52" s="110"/>
      <c r="G52" s="110">
        <v>0</v>
      </c>
      <c r="H52" s="84">
        <v>0</v>
      </c>
    </row>
    <row r="53" spans="1:14" x14ac:dyDescent="0.3">
      <c r="B53" s="67" t="s">
        <v>87</v>
      </c>
      <c r="C53" s="79"/>
      <c r="D53" s="79">
        <v>0</v>
      </c>
      <c r="E53" s="101">
        <v>0</v>
      </c>
      <c r="F53" s="110"/>
      <c r="G53" s="110">
        <v>0</v>
      </c>
      <c r="H53" s="84">
        <v>0</v>
      </c>
    </row>
    <row r="54" spans="1:14" x14ac:dyDescent="0.3">
      <c r="B54" s="67" t="s">
        <v>88</v>
      </c>
      <c r="C54" s="79"/>
      <c r="D54" s="79">
        <f>D52-D53</f>
        <v>0</v>
      </c>
      <c r="E54" s="101">
        <f t="shared" ref="E54:H54" si="3">E52-E53</f>
        <v>0</v>
      </c>
      <c r="F54" s="79"/>
      <c r="G54" s="79">
        <f t="shared" si="3"/>
        <v>0</v>
      </c>
      <c r="H54" s="101">
        <f t="shared" si="3"/>
        <v>0</v>
      </c>
    </row>
    <row r="55" spans="1:14" x14ac:dyDescent="0.3">
      <c r="B55" s="77" t="s">
        <v>84</v>
      </c>
      <c r="C55" s="79"/>
      <c r="D55" s="68" t="s">
        <v>37</v>
      </c>
      <c r="E55" s="93" t="s">
        <v>38</v>
      </c>
      <c r="F55" s="110"/>
      <c r="G55" s="68" t="s">
        <v>37</v>
      </c>
      <c r="H55" s="93" t="s">
        <v>38</v>
      </c>
      <c r="J55" s="115" t="s">
        <v>37</v>
      </c>
      <c r="K55" s="149" t="s">
        <v>38</v>
      </c>
      <c r="M55" s="151" t="s">
        <v>37</v>
      </c>
      <c r="N55" s="155" t="s">
        <v>38</v>
      </c>
    </row>
    <row r="56" spans="1:14" x14ac:dyDescent="0.3">
      <c r="B56" s="67" t="s">
        <v>90</v>
      </c>
      <c r="C56" s="79"/>
      <c r="D56" s="79">
        <f>D48+D52</f>
        <v>0</v>
      </c>
      <c r="E56" s="101">
        <f>E48+E52</f>
        <v>0</v>
      </c>
      <c r="F56" s="79"/>
      <c r="G56" s="79">
        <f t="shared" ref="G56:H57" si="4">G48+G52</f>
        <v>0</v>
      </c>
      <c r="H56" s="101">
        <f t="shared" si="4"/>
        <v>0</v>
      </c>
    </row>
    <row r="57" spans="1:14" x14ac:dyDescent="0.3">
      <c r="B57" s="67" t="s">
        <v>91</v>
      </c>
      <c r="C57" s="79"/>
      <c r="D57" s="79">
        <f>D49+D53</f>
        <v>0</v>
      </c>
      <c r="E57" s="101">
        <f>E49+E53</f>
        <v>0</v>
      </c>
      <c r="F57" s="79"/>
      <c r="G57" s="79">
        <f t="shared" si="4"/>
        <v>0</v>
      </c>
      <c r="H57" s="101">
        <f t="shared" si="4"/>
        <v>0</v>
      </c>
    </row>
    <row r="58" spans="1:14" x14ac:dyDescent="0.3">
      <c r="B58" s="67" t="s">
        <v>92</v>
      </c>
      <c r="C58" s="79"/>
      <c r="D58" s="79">
        <f>D56-D57</f>
        <v>0</v>
      </c>
      <c r="E58" s="101">
        <f t="shared" ref="E58:H58" si="5">E56-E57</f>
        <v>0</v>
      </c>
      <c r="F58" s="79"/>
      <c r="G58" s="79">
        <f t="shared" si="5"/>
        <v>0</v>
      </c>
      <c r="H58" s="101">
        <f t="shared" si="5"/>
        <v>0</v>
      </c>
    </row>
    <row r="59" spans="1:14" x14ac:dyDescent="0.3">
      <c r="B59" s="69" t="s">
        <v>74</v>
      </c>
      <c r="C59" s="79"/>
      <c r="D59" s="79"/>
      <c r="E59" s="101"/>
      <c r="F59" s="110"/>
      <c r="G59" s="110"/>
      <c r="H59" s="84"/>
    </row>
    <row r="60" spans="1:14" x14ac:dyDescent="0.3">
      <c r="B60" s="63" t="s">
        <v>75</v>
      </c>
      <c r="C60" s="79"/>
      <c r="D60" s="79"/>
      <c r="E60" s="101"/>
      <c r="F60" s="110"/>
      <c r="G60" s="110"/>
      <c r="H60" s="84"/>
    </row>
    <row r="61" spans="1:14" ht="28.8" x14ac:dyDescent="0.3">
      <c r="B61" s="63" t="s">
        <v>80</v>
      </c>
      <c r="C61" s="79"/>
      <c r="D61" s="79"/>
      <c r="E61" s="101"/>
      <c r="F61" s="110"/>
      <c r="G61" s="110"/>
      <c r="H61" s="84"/>
    </row>
    <row r="62" spans="1:14" ht="28.8" x14ac:dyDescent="0.3">
      <c r="B62" s="63" t="s">
        <v>81</v>
      </c>
      <c r="C62" s="80"/>
      <c r="D62" s="80"/>
      <c r="E62" s="102"/>
      <c r="F62" s="110"/>
      <c r="G62" s="110"/>
      <c r="H62" s="84"/>
    </row>
    <row r="63" spans="1:14" ht="28.8" x14ac:dyDescent="0.3">
      <c r="B63" s="63" t="s">
        <v>82</v>
      </c>
      <c r="C63" s="80"/>
      <c r="D63" s="80"/>
      <c r="E63" s="102"/>
      <c r="F63" s="110"/>
      <c r="G63" s="110"/>
      <c r="H63" s="84"/>
    </row>
    <row r="67" spans="2:14" x14ac:dyDescent="0.3">
      <c r="B67" s="77" t="s">
        <v>32</v>
      </c>
    </row>
    <row r="68" spans="2:14" x14ac:dyDescent="0.3">
      <c r="B68" s="63" t="s">
        <v>34</v>
      </c>
      <c r="G68" s="105"/>
      <c r="H68" s="119"/>
      <c r="J68" s="105"/>
      <c r="K68" s="150"/>
      <c r="M68" s="116"/>
      <c r="N68" s="156"/>
    </row>
  </sheetData>
  <mergeCells count="4">
    <mergeCell ref="C2:E2"/>
    <mergeCell ref="F2:H2"/>
    <mergeCell ref="I2:K2"/>
    <mergeCell ref="L2:N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>
    <tabColor theme="9"/>
  </sheetPr>
  <dimension ref="A1:N68"/>
  <sheetViews>
    <sheetView zoomScale="80" zoomScaleNormal="80" workbookViewId="0">
      <pane xSplit="2" ySplit="2" topLeftCell="L3" activePane="bottomRight" state="frozen"/>
      <selection activeCell="I1" sqref="I1:K68"/>
      <selection pane="topRight" activeCell="I1" sqref="I1:K68"/>
      <selection pane="bottomLeft" activeCell="I1" sqref="I1:K68"/>
      <selection pane="bottomRight" activeCell="N3" sqref="N3"/>
    </sheetView>
  </sheetViews>
  <sheetFormatPr baseColWidth="10" defaultColWidth="11.44140625" defaultRowHeight="14.4" x14ac:dyDescent="0.3"/>
  <cols>
    <col min="1" max="1" width="40.6640625" style="63" customWidth="1"/>
    <col min="2" max="2" width="53.6640625" style="63" customWidth="1"/>
    <col min="3" max="4" width="17.5546875" style="63" customWidth="1"/>
    <col min="5" max="5" width="17.5546875" style="103" customWidth="1"/>
    <col min="6" max="7" width="17.5546875" style="109" customWidth="1"/>
    <col min="8" max="8" width="17.5546875" style="92" customWidth="1"/>
    <col min="9" max="10" width="15.6640625" style="147" customWidth="1"/>
    <col min="11" max="11" width="15.6640625" style="148" customWidth="1"/>
    <col min="12" max="13" width="15.6640625" style="151" customWidth="1"/>
    <col min="14" max="14" width="15.6640625" style="155" customWidth="1"/>
    <col min="15" max="16384" width="11.44140625" style="109"/>
  </cols>
  <sheetData>
    <row r="1" spans="1:14" x14ac:dyDescent="0.3">
      <c r="A1" s="72" t="s">
        <v>36</v>
      </c>
      <c r="B1" s="75" t="s">
        <v>35</v>
      </c>
      <c r="C1" s="109"/>
      <c r="D1" s="109"/>
      <c r="E1" s="92"/>
    </row>
    <row r="2" spans="1:14" x14ac:dyDescent="0.3">
      <c r="A2" s="69" t="s">
        <v>54</v>
      </c>
      <c r="B2" s="69" t="s">
        <v>29</v>
      </c>
      <c r="C2" s="163" t="s">
        <v>39</v>
      </c>
      <c r="D2" s="163"/>
      <c r="E2" s="163"/>
      <c r="F2" s="163" t="s">
        <v>40</v>
      </c>
      <c r="G2" s="163"/>
      <c r="H2" s="163"/>
      <c r="I2" s="164" t="s">
        <v>41</v>
      </c>
      <c r="J2" s="164"/>
      <c r="K2" s="164"/>
      <c r="L2" s="164" t="s">
        <v>176</v>
      </c>
      <c r="M2" s="164"/>
      <c r="N2" s="164"/>
    </row>
    <row r="3" spans="1:14" x14ac:dyDescent="0.3">
      <c r="A3" s="91"/>
      <c r="B3" s="76" t="s">
        <v>42</v>
      </c>
      <c r="C3" s="66"/>
      <c r="D3" s="68" t="s">
        <v>37</v>
      </c>
      <c r="E3" s="93" t="s">
        <v>38</v>
      </c>
      <c r="F3" s="66"/>
      <c r="G3" s="68" t="s">
        <v>37</v>
      </c>
      <c r="H3" s="93" t="s">
        <v>38</v>
      </c>
      <c r="J3" s="115" t="s">
        <v>37</v>
      </c>
      <c r="K3" s="149" t="s">
        <v>38</v>
      </c>
      <c r="M3" s="151" t="s">
        <v>37</v>
      </c>
      <c r="N3" s="155" t="s">
        <v>38</v>
      </c>
    </row>
    <row r="4" spans="1:14" x14ac:dyDescent="0.3">
      <c r="A4" s="91"/>
      <c r="B4" s="67" t="s">
        <v>45</v>
      </c>
      <c r="C4" s="66"/>
      <c r="D4" s="70">
        <v>0</v>
      </c>
      <c r="E4" s="94">
        <v>0</v>
      </c>
      <c r="F4" s="66"/>
      <c r="G4" s="70">
        <v>0</v>
      </c>
      <c r="H4" s="98">
        <v>0</v>
      </c>
    </row>
    <row r="5" spans="1:14" ht="28.8" x14ac:dyDescent="0.3">
      <c r="A5" s="130"/>
      <c r="B5" s="67" t="s">
        <v>77</v>
      </c>
      <c r="C5" s="85"/>
      <c r="D5" s="86">
        <v>0</v>
      </c>
      <c r="E5" s="131">
        <v>0</v>
      </c>
      <c r="F5" s="66"/>
      <c r="G5" s="70">
        <v>0</v>
      </c>
      <c r="H5" s="98">
        <v>0</v>
      </c>
    </row>
    <row r="6" spans="1:14" ht="28.8" x14ac:dyDescent="0.3">
      <c r="A6" s="130" t="s">
        <v>133</v>
      </c>
      <c r="B6" s="67" t="s">
        <v>46</v>
      </c>
      <c r="C6" s="85"/>
      <c r="D6" s="86">
        <v>42059</v>
      </c>
      <c r="E6" s="131">
        <v>6276043</v>
      </c>
      <c r="F6" s="66"/>
      <c r="G6" s="83">
        <v>40836</v>
      </c>
      <c r="H6" s="117">
        <v>6264476</v>
      </c>
      <c r="J6" s="105">
        <v>40201</v>
      </c>
      <c r="K6" s="150">
        <v>6401834</v>
      </c>
      <c r="M6" s="116">
        <v>32321</v>
      </c>
      <c r="N6" s="156">
        <v>4726527</v>
      </c>
    </row>
    <row r="7" spans="1:14" ht="28.8" x14ac:dyDescent="0.3">
      <c r="A7" s="130" t="s">
        <v>135</v>
      </c>
      <c r="B7" s="67" t="s">
        <v>47</v>
      </c>
      <c r="C7" s="85"/>
      <c r="D7" s="86">
        <v>5601</v>
      </c>
      <c r="E7" s="131">
        <v>1389118</v>
      </c>
      <c r="F7" s="66"/>
      <c r="G7" s="83">
        <v>5494</v>
      </c>
      <c r="H7" s="117">
        <v>1344227</v>
      </c>
      <c r="J7" s="105">
        <v>4976</v>
      </c>
      <c r="K7" s="150">
        <v>1166475</v>
      </c>
      <c r="M7" s="116">
        <v>3694</v>
      </c>
      <c r="N7" s="156">
        <v>921504</v>
      </c>
    </row>
    <row r="8" spans="1:14" x14ac:dyDescent="0.3">
      <c r="A8" s="130"/>
      <c r="B8" s="67" t="s">
        <v>48</v>
      </c>
      <c r="C8" s="85"/>
      <c r="D8" s="86">
        <f>SUM(D4:D7)</f>
        <v>47660</v>
      </c>
      <c r="E8" s="131">
        <f>SUM(E4:E7)</f>
        <v>7665161</v>
      </c>
      <c r="F8" s="66"/>
      <c r="G8" s="83">
        <f>SUM(G4:G7)</f>
        <v>46330</v>
      </c>
      <c r="H8" s="117">
        <f>SUM(H4:H7)</f>
        <v>7608703</v>
      </c>
      <c r="J8" s="105">
        <f>SUM(J4:J7)</f>
        <v>45177</v>
      </c>
      <c r="K8" s="150">
        <f>SUM(K4:K7)</f>
        <v>7568309</v>
      </c>
      <c r="M8" s="116">
        <f>SUM(M4:M7)</f>
        <v>36015</v>
      </c>
      <c r="N8" s="156">
        <f>SUM(N4:N7)</f>
        <v>5648031</v>
      </c>
    </row>
    <row r="9" spans="1:14" x14ac:dyDescent="0.3">
      <c r="A9" s="91"/>
      <c r="B9" s="76" t="s">
        <v>43</v>
      </c>
      <c r="C9" s="66"/>
      <c r="D9" s="68" t="s">
        <v>37</v>
      </c>
      <c r="E9" s="93" t="s">
        <v>38</v>
      </c>
      <c r="F9" s="66"/>
      <c r="G9" s="68" t="s">
        <v>37</v>
      </c>
      <c r="H9" s="93" t="s">
        <v>38</v>
      </c>
      <c r="J9" s="115" t="s">
        <v>37</v>
      </c>
      <c r="K9" s="149" t="s">
        <v>38</v>
      </c>
      <c r="M9" s="151" t="s">
        <v>37</v>
      </c>
      <c r="N9" s="155" t="s">
        <v>38</v>
      </c>
    </row>
    <row r="10" spans="1:14" ht="28.8" x14ac:dyDescent="0.3">
      <c r="A10" s="91" t="s">
        <v>57</v>
      </c>
      <c r="B10" s="78"/>
      <c r="C10" s="67"/>
      <c r="D10" s="88">
        <v>1506</v>
      </c>
      <c r="E10" s="95">
        <v>5295153</v>
      </c>
      <c r="F10" s="67"/>
      <c r="G10" s="81">
        <v>1468</v>
      </c>
      <c r="H10" s="118">
        <v>5489736</v>
      </c>
      <c r="J10" s="147">
        <v>1366</v>
      </c>
      <c r="K10" s="148">
        <v>5191579</v>
      </c>
      <c r="M10" s="151">
        <v>1158</v>
      </c>
      <c r="N10" s="155">
        <v>4771299</v>
      </c>
    </row>
    <row r="11" spans="1:14" ht="28.8" x14ac:dyDescent="0.3">
      <c r="A11" s="130" t="s">
        <v>134</v>
      </c>
      <c r="B11" s="78"/>
      <c r="C11" s="67"/>
      <c r="D11" s="88">
        <v>2445</v>
      </c>
      <c r="E11" s="132">
        <v>1850557</v>
      </c>
      <c r="F11" s="67"/>
      <c r="G11" s="81">
        <v>2193</v>
      </c>
      <c r="H11" s="118">
        <v>1694420</v>
      </c>
      <c r="J11" s="147">
        <v>2073</v>
      </c>
      <c r="K11" s="148">
        <v>1586587</v>
      </c>
      <c r="M11" s="151">
        <v>1701</v>
      </c>
      <c r="N11" s="155">
        <v>1304020</v>
      </c>
    </row>
    <row r="12" spans="1:14" ht="28.8" x14ac:dyDescent="0.3">
      <c r="A12" s="130" t="s">
        <v>53</v>
      </c>
      <c r="B12" s="78"/>
      <c r="C12" s="67"/>
      <c r="D12" s="88">
        <v>450</v>
      </c>
      <c r="E12" s="132">
        <v>158552</v>
      </c>
      <c r="F12" s="67"/>
      <c r="G12" s="81">
        <v>326</v>
      </c>
      <c r="H12" s="118">
        <v>127233</v>
      </c>
      <c r="J12" s="147">
        <v>249</v>
      </c>
      <c r="K12" s="148">
        <v>134397</v>
      </c>
      <c r="M12" s="151">
        <v>199</v>
      </c>
      <c r="N12" s="155">
        <v>92120</v>
      </c>
    </row>
    <row r="13" spans="1:14" ht="28.8" x14ac:dyDescent="0.3">
      <c r="A13" s="91" t="s">
        <v>55</v>
      </c>
      <c r="B13" s="78"/>
      <c r="C13" s="67"/>
      <c r="D13" s="88">
        <v>80</v>
      </c>
      <c r="E13" s="95">
        <v>7520</v>
      </c>
      <c r="F13" s="67"/>
      <c r="G13" s="81">
        <v>101</v>
      </c>
      <c r="H13" s="118">
        <v>18588</v>
      </c>
      <c r="J13" s="147">
        <v>87</v>
      </c>
      <c r="K13" s="148">
        <v>10286</v>
      </c>
      <c r="M13" s="151">
        <v>128</v>
      </c>
      <c r="N13" s="155">
        <v>18262</v>
      </c>
    </row>
    <row r="14" spans="1:14" ht="43.2" x14ac:dyDescent="0.3">
      <c r="A14" s="91" t="s">
        <v>52</v>
      </c>
      <c r="B14" s="67" t="s">
        <v>45</v>
      </c>
      <c r="C14" s="66"/>
      <c r="D14" s="86">
        <f>D10+D11</f>
        <v>3951</v>
      </c>
      <c r="E14" s="94">
        <f>E10+E11</f>
        <v>7145710</v>
      </c>
      <c r="F14" s="66"/>
      <c r="G14" s="83">
        <f>G10+G11</f>
        <v>3661</v>
      </c>
      <c r="H14" s="117">
        <f>H10+H11</f>
        <v>7184156</v>
      </c>
      <c r="J14" s="105">
        <v>3439</v>
      </c>
      <c r="K14" s="150">
        <v>6778166</v>
      </c>
      <c r="M14" s="116">
        <v>2859</v>
      </c>
      <c r="N14" s="156">
        <v>6075319</v>
      </c>
    </row>
    <row r="15" spans="1:14" ht="28.8" x14ac:dyDescent="0.3">
      <c r="A15" s="130"/>
      <c r="B15" s="67" t="s">
        <v>77</v>
      </c>
      <c r="C15" s="66"/>
      <c r="D15" s="86">
        <v>0</v>
      </c>
      <c r="E15" s="131">
        <v>0</v>
      </c>
      <c r="F15" s="66"/>
      <c r="G15" s="83">
        <v>0</v>
      </c>
      <c r="H15" s="117">
        <v>0</v>
      </c>
    </row>
    <row r="16" spans="1:14" ht="28.8" x14ac:dyDescent="0.3">
      <c r="A16" s="130" t="s">
        <v>53</v>
      </c>
      <c r="B16" s="67" t="s">
        <v>46</v>
      </c>
      <c r="C16" s="66"/>
      <c r="D16" s="86">
        <f>D12</f>
        <v>450</v>
      </c>
      <c r="E16" s="131">
        <f>E12</f>
        <v>158552</v>
      </c>
      <c r="F16" s="66"/>
      <c r="G16" s="83">
        <f>G12</f>
        <v>326</v>
      </c>
      <c r="H16" s="117">
        <f>H12</f>
        <v>127233</v>
      </c>
      <c r="J16" s="105">
        <v>249</v>
      </c>
      <c r="K16" s="150">
        <v>134397</v>
      </c>
      <c r="M16" s="116">
        <v>199</v>
      </c>
      <c r="N16" s="156">
        <v>92120</v>
      </c>
    </row>
    <row r="17" spans="1:14" ht="28.8" x14ac:dyDescent="0.3">
      <c r="A17" s="91" t="s">
        <v>55</v>
      </c>
      <c r="B17" s="67" t="s">
        <v>47</v>
      </c>
      <c r="C17" s="66"/>
      <c r="D17" s="86">
        <f>D13</f>
        <v>80</v>
      </c>
      <c r="E17" s="94">
        <f>E13</f>
        <v>7520</v>
      </c>
      <c r="F17" s="66"/>
      <c r="G17" s="83">
        <f>G13</f>
        <v>101</v>
      </c>
      <c r="H17" s="117">
        <f>H13</f>
        <v>18588</v>
      </c>
      <c r="J17" s="105">
        <v>87</v>
      </c>
      <c r="K17" s="150">
        <v>10286</v>
      </c>
      <c r="M17" s="116">
        <v>128</v>
      </c>
      <c r="N17" s="156">
        <v>18262</v>
      </c>
    </row>
    <row r="18" spans="1:14" x14ac:dyDescent="0.3">
      <c r="A18" s="91"/>
      <c r="B18" s="67" t="s">
        <v>49</v>
      </c>
      <c r="C18" s="66"/>
      <c r="D18" s="86">
        <f>SUM(D14:D17)</f>
        <v>4481</v>
      </c>
      <c r="E18" s="94">
        <f>SUM(E14:E17)</f>
        <v>7311782</v>
      </c>
      <c r="F18" s="66"/>
      <c r="G18" s="83">
        <f>SUM(G14:G17)</f>
        <v>4088</v>
      </c>
      <c r="H18" s="117">
        <f>SUM(H14:H17)</f>
        <v>7329977</v>
      </c>
      <c r="J18" s="105">
        <f>SUM(J14:J17)</f>
        <v>3775</v>
      </c>
      <c r="K18" s="150">
        <f>SUM(K14:K17)</f>
        <v>6922849</v>
      </c>
      <c r="M18" s="116">
        <f>SUM(M14:M17)</f>
        <v>3186</v>
      </c>
      <c r="N18" s="156">
        <f>SUM(N14:N17)</f>
        <v>6185701</v>
      </c>
    </row>
    <row r="19" spans="1:14" x14ac:dyDescent="0.3">
      <c r="A19" s="130"/>
      <c r="B19" s="71" t="s">
        <v>44</v>
      </c>
      <c r="C19" s="66"/>
      <c r="D19" s="85"/>
      <c r="E19" s="133"/>
      <c r="F19" s="66"/>
      <c r="G19" s="66"/>
      <c r="H19" s="97"/>
    </row>
    <row r="20" spans="1:14" ht="57.6" x14ac:dyDescent="0.3">
      <c r="A20" s="130" t="s">
        <v>56</v>
      </c>
      <c r="B20" s="67" t="s">
        <v>50</v>
      </c>
      <c r="C20" s="66"/>
      <c r="D20" s="86">
        <f>D11+D12+D13</f>
        <v>2975</v>
      </c>
      <c r="E20" s="131">
        <f>E11+E12+E13</f>
        <v>2016629</v>
      </c>
      <c r="F20" s="66"/>
      <c r="G20" s="83">
        <f>G11+G12+G13</f>
        <v>2620</v>
      </c>
      <c r="H20" s="117">
        <f>H11+H12+H13</f>
        <v>1840241</v>
      </c>
      <c r="J20" s="105">
        <v>2409</v>
      </c>
      <c r="K20" s="150">
        <v>1731270</v>
      </c>
      <c r="M20" s="116">
        <v>2028</v>
      </c>
      <c r="N20" s="156">
        <v>1414402</v>
      </c>
    </row>
    <row r="21" spans="1:14" ht="28.8" x14ac:dyDescent="0.3">
      <c r="A21" s="91" t="s">
        <v>57</v>
      </c>
      <c r="B21" s="67" t="s">
        <v>51</v>
      </c>
      <c r="C21" s="66"/>
      <c r="D21" s="86">
        <f>D10</f>
        <v>1506</v>
      </c>
      <c r="E21" s="94">
        <f>E10</f>
        <v>5295153</v>
      </c>
      <c r="F21" s="66"/>
      <c r="G21" s="83">
        <f>G10</f>
        <v>1468</v>
      </c>
      <c r="H21" s="117">
        <f>H10</f>
        <v>5489736</v>
      </c>
      <c r="J21" s="105">
        <v>1366</v>
      </c>
      <c r="K21" s="150">
        <v>5191579</v>
      </c>
      <c r="M21" s="116">
        <v>1158</v>
      </c>
      <c r="N21" s="156">
        <v>4771299</v>
      </c>
    </row>
    <row r="22" spans="1:14" x14ac:dyDescent="0.3">
      <c r="A22" s="91"/>
      <c r="B22" s="76" t="s">
        <v>58</v>
      </c>
      <c r="C22" s="66"/>
      <c r="D22" s="68" t="s">
        <v>37</v>
      </c>
      <c r="E22" s="93" t="s">
        <v>38</v>
      </c>
      <c r="F22" s="66"/>
      <c r="G22" s="68" t="s">
        <v>37</v>
      </c>
      <c r="H22" s="93" t="s">
        <v>38</v>
      </c>
      <c r="J22" s="115" t="s">
        <v>37</v>
      </c>
      <c r="K22" s="149" t="s">
        <v>38</v>
      </c>
      <c r="M22" s="151" t="s">
        <v>37</v>
      </c>
      <c r="N22" s="155" t="s">
        <v>38</v>
      </c>
    </row>
    <row r="23" spans="1:14" x14ac:dyDescent="0.3">
      <c r="A23" s="130"/>
      <c r="B23" s="67" t="s">
        <v>45</v>
      </c>
      <c r="C23" s="66"/>
      <c r="D23" s="66"/>
      <c r="E23" s="133"/>
      <c r="F23" s="66"/>
      <c r="G23" s="66"/>
      <c r="H23" s="97"/>
    </row>
    <row r="24" spans="1:14" ht="28.8" x14ac:dyDescent="0.3">
      <c r="A24" s="130"/>
      <c r="B24" s="67" t="s">
        <v>77</v>
      </c>
      <c r="C24" s="66"/>
      <c r="D24" s="66"/>
      <c r="E24" s="133"/>
      <c r="F24" s="66"/>
      <c r="G24" s="66"/>
      <c r="H24" s="97"/>
    </row>
    <row r="25" spans="1:14" x14ac:dyDescent="0.3">
      <c r="A25" s="91"/>
      <c r="B25" s="63" t="s">
        <v>46</v>
      </c>
      <c r="C25" s="64"/>
      <c r="D25" s="64"/>
      <c r="E25" s="96"/>
      <c r="F25" s="64"/>
      <c r="G25" s="64"/>
      <c r="H25" s="97"/>
    </row>
    <row r="26" spans="1:14" x14ac:dyDescent="0.3">
      <c r="A26" s="91"/>
      <c r="B26" s="63" t="s">
        <v>47</v>
      </c>
      <c r="C26" s="64"/>
      <c r="D26" s="64"/>
      <c r="E26" s="97"/>
      <c r="F26" s="64"/>
      <c r="G26" s="64"/>
      <c r="H26" s="97"/>
    </row>
    <row r="27" spans="1:14" x14ac:dyDescent="0.3">
      <c r="A27" s="91"/>
      <c r="B27" s="63" t="s">
        <v>60</v>
      </c>
      <c r="C27" s="64"/>
      <c r="D27" s="64"/>
      <c r="E27" s="97"/>
      <c r="F27" s="64"/>
      <c r="G27" s="64"/>
      <c r="H27" s="97"/>
    </row>
    <row r="28" spans="1:14" x14ac:dyDescent="0.3">
      <c r="A28" s="91"/>
      <c r="B28" s="77" t="s">
        <v>59</v>
      </c>
      <c r="C28" s="65" t="s">
        <v>30</v>
      </c>
      <c r="D28" s="65" t="s">
        <v>72</v>
      </c>
      <c r="E28" s="93" t="s">
        <v>31</v>
      </c>
      <c r="F28" s="65" t="s">
        <v>30</v>
      </c>
      <c r="G28" s="65" t="s">
        <v>72</v>
      </c>
      <c r="H28" s="93" t="s">
        <v>31</v>
      </c>
      <c r="I28" s="115" t="s">
        <v>30</v>
      </c>
      <c r="J28" s="115" t="s">
        <v>72</v>
      </c>
      <c r="K28" s="149" t="s">
        <v>31</v>
      </c>
      <c r="L28" s="151" t="s">
        <v>30</v>
      </c>
      <c r="M28" s="151" t="s">
        <v>72</v>
      </c>
      <c r="N28" s="155" t="s">
        <v>31</v>
      </c>
    </row>
    <row r="29" spans="1:14" x14ac:dyDescent="0.3">
      <c r="A29" s="91"/>
      <c r="B29" s="63" t="s">
        <v>61</v>
      </c>
      <c r="C29" s="73">
        <v>7696</v>
      </c>
      <c r="D29" s="73">
        <v>177</v>
      </c>
      <c r="E29" s="98">
        <v>7873</v>
      </c>
      <c r="F29" s="104">
        <v>6541</v>
      </c>
      <c r="G29" s="104">
        <v>496</v>
      </c>
      <c r="H29" s="117">
        <v>7037</v>
      </c>
      <c r="I29" s="105">
        <f t="shared" ref="I29:N29" si="0">F34</f>
        <v>5893</v>
      </c>
      <c r="J29" s="105">
        <f t="shared" si="0"/>
        <v>147</v>
      </c>
      <c r="K29" s="150">
        <f t="shared" si="0"/>
        <v>6040</v>
      </c>
      <c r="L29" s="116">
        <f t="shared" si="0"/>
        <v>4804</v>
      </c>
      <c r="M29" s="116">
        <f t="shared" si="0"/>
        <v>135</v>
      </c>
      <c r="N29" s="156">
        <f t="shared" si="0"/>
        <v>4939</v>
      </c>
    </row>
    <row r="30" spans="1:14" x14ac:dyDescent="0.3">
      <c r="A30" s="91" t="s">
        <v>95</v>
      </c>
      <c r="B30" s="63" t="s">
        <v>62</v>
      </c>
      <c r="C30" s="110"/>
      <c r="D30" s="110"/>
      <c r="E30" s="84">
        <v>3</v>
      </c>
      <c r="F30" s="110"/>
      <c r="G30" s="110"/>
      <c r="H30" s="119"/>
      <c r="K30" s="150">
        <v>1</v>
      </c>
      <c r="N30" s="156">
        <v>1</v>
      </c>
    </row>
    <row r="31" spans="1:14" x14ac:dyDescent="0.3">
      <c r="A31" s="91"/>
      <c r="B31" s="63" t="s">
        <v>63</v>
      </c>
      <c r="C31" s="110"/>
      <c r="D31" s="110"/>
      <c r="E31" s="84"/>
      <c r="F31" s="110"/>
      <c r="G31" s="110"/>
      <c r="H31" s="84"/>
    </row>
    <row r="32" spans="1:14" ht="28.8" x14ac:dyDescent="0.3">
      <c r="A32" s="91" t="s">
        <v>68</v>
      </c>
      <c r="C32" s="110"/>
      <c r="D32" s="110"/>
      <c r="E32" s="84">
        <v>7019</v>
      </c>
      <c r="F32" s="110"/>
      <c r="G32" s="110"/>
      <c r="H32" s="119">
        <v>6024</v>
      </c>
      <c r="K32" s="148">
        <v>4927</v>
      </c>
      <c r="N32" s="155">
        <v>4688</v>
      </c>
    </row>
    <row r="33" spans="1:14" ht="28.8" x14ac:dyDescent="0.3">
      <c r="A33" s="91" t="s">
        <v>69</v>
      </c>
      <c r="C33" s="110"/>
      <c r="D33" s="110"/>
      <c r="E33" s="84">
        <v>18</v>
      </c>
      <c r="F33" s="110"/>
      <c r="G33" s="110"/>
      <c r="H33" s="119">
        <v>16</v>
      </c>
      <c r="K33" s="148">
        <v>12</v>
      </c>
      <c r="N33" s="155">
        <v>12</v>
      </c>
    </row>
    <row r="34" spans="1:14" ht="43.2" x14ac:dyDescent="0.3">
      <c r="A34" s="91" t="s">
        <v>73</v>
      </c>
      <c r="B34" s="63" t="s">
        <v>64</v>
      </c>
      <c r="C34" s="110">
        <f>E34-D34</f>
        <v>6541</v>
      </c>
      <c r="D34" s="110">
        <v>496</v>
      </c>
      <c r="E34" s="84">
        <f>SUM(E32:E33)</f>
        <v>7037</v>
      </c>
      <c r="F34" s="105">
        <f>H34-G34</f>
        <v>5893</v>
      </c>
      <c r="G34" s="105">
        <v>147</v>
      </c>
      <c r="H34" s="119">
        <f>SUM(H32:H33)</f>
        <v>6040</v>
      </c>
      <c r="I34" s="105">
        <f>K34-J34</f>
        <v>4804</v>
      </c>
      <c r="J34" s="105">
        <v>135</v>
      </c>
      <c r="K34" s="150">
        <f>SUM(K32:K33)</f>
        <v>4939</v>
      </c>
      <c r="L34" s="116">
        <f>N34-M34</f>
        <v>4568</v>
      </c>
      <c r="M34" s="116">
        <v>132</v>
      </c>
      <c r="N34" s="156">
        <f>SUM(N32:N33)</f>
        <v>4700</v>
      </c>
    </row>
    <row r="35" spans="1:14" ht="28.8" x14ac:dyDescent="0.3">
      <c r="A35" s="91" t="s">
        <v>96</v>
      </c>
      <c r="C35" s="110"/>
      <c r="D35" s="110"/>
      <c r="E35" s="84">
        <v>7257</v>
      </c>
      <c r="F35" s="110"/>
      <c r="G35" s="110"/>
      <c r="H35" s="119">
        <v>6945</v>
      </c>
      <c r="K35" s="148">
        <v>2182</v>
      </c>
      <c r="N35" s="155">
        <v>1863</v>
      </c>
    </row>
    <row r="36" spans="1:14" ht="28.8" x14ac:dyDescent="0.3">
      <c r="A36" s="91" t="s">
        <v>97</v>
      </c>
      <c r="C36" s="110"/>
      <c r="D36" s="110"/>
      <c r="E36" s="84">
        <v>21</v>
      </c>
      <c r="F36" s="110"/>
      <c r="G36" s="110"/>
      <c r="H36" s="119">
        <v>15</v>
      </c>
      <c r="K36" s="148">
        <v>9</v>
      </c>
      <c r="N36" s="155">
        <v>4</v>
      </c>
    </row>
    <row r="37" spans="1:14" ht="28.8" x14ac:dyDescent="0.3">
      <c r="A37" s="91"/>
      <c r="B37" s="63" t="s">
        <v>78</v>
      </c>
      <c r="C37" s="90"/>
      <c r="D37" s="110"/>
      <c r="E37" s="84">
        <f>SUM(E35:E36)</f>
        <v>7278</v>
      </c>
      <c r="F37" s="110"/>
      <c r="G37" s="110"/>
      <c r="H37" s="119">
        <f>SUM(H35:H36)</f>
        <v>6960</v>
      </c>
      <c r="K37" s="150">
        <f>SUM(K35:K36)</f>
        <v>2191</v>
      </c>
      <c r="N37" s="156">
        <f>SUM(N35:N36)</f>
        <v>1867</v>
      </c>
    </row>
    <row r="38" spans="1:14" ht="28.8" x14ac:dyDescent="0.3">
      <c r="A38" s="91" t="s">
        <v>70</v>
      </c>
      <c r="C38" s="90"/>
      <c r="D38" s="110"/>
      <c r="E38" s="84">
        <v>0</v>
      </c>
      <c r="F38" s="110"/>
      <c r="G38" s="110"/>
      <c r="H38" s="119">
        <v>6473</v>
      </c>
      <c r="K38" s="148">
        <v>5359</v>
      </c>
      <c r="N38" s="155">
        <v>5112</v>
      </c>
    </row>
    <row r="39" spans="1:14" ht="28.8" x14ac:dyDescent="0.3">
      <c r="A39" s="130" t="s">
        <v>71</v>
      </c>
      <c r="B39" s="130"/>
      <c r="C39" s="134"/>
      <c r="D39" s="110"/>
      <c r="E39" s="84">
        <v>0</v>
      </c>
      <c r="F39" s="110"/>
      <c r="G39" s="110"/>
      <c r="H39" s="119">
        <v>18</v>
      </c>
      <c r="K39" s="148">
        <v>14</v>
      </c>
      <c r="N39" s="155">
        <v>14</v>
      </c>
    </row>
    <row r="40" spans="1:14" x14ac:dyDescent="0.3">
      <c r="A40" s="91"/>
      <c r="B40" s="63" t="s">
        <v>65</v>
      </c>
      <c r="C40" s="90">
        <f>C34</f>
        <v>6541</v>
      </c>
      <c r="D40" s="110">
        <f>D34</f>
        <v>496</v>
      </c>
      <c r="E40" s="84">
        <f>E34</f>
        <v>7037</v>
      </c>
      <c r="F40" s="105">
        <f>H40-G40</f>
        <v>6453</v>
      </c>
      <c r="G40" s="105">
        <v>38</v>
      </c>
      <c r="H40" s="119">
        <f>SUM(H38:H39)</f>
        <v>6491</v>
      </c>
      <c r="I40" s="105">
        <f>K40-J40</f>
        <v>5337</v>
      </c>
      <c r="J40" s="105">
        <v>36</v>
      </c>
      <c r="K40" s="150">
        <f>SUM(K38:K39)</f>
        <v>5373</v>
      </c>
      <c r="L40" s="116">
        <f>N40-M40</f>
        <v>5089</v>
      </c>
      <c r="M40" s="116">
        <v>37</v>
      </c>
      <c r="N40" s="156">
        <f>SUM(N38:N39)</f>
        <v>5126</v>
      </c>
    </row>
    <row r="41" spans="1:14" x14ac:dyDescent="0.3">
      <c r="A41" s="91"/>
      <c r="B41" s="63" t="s">
        <v>66</v>
      </c>
      <c r="C41" s="110"/>
      <c r="D41" s="110"/>
      <c r="E41" s="84"/>
      <c r="F41" s="110"/>
      <c r="G41" s="110"/>
      <c r="H41" s="84"/>
    </row>
    <row r="42" spans="1:14" x14ac:dyDescent="0.3">
      <c r="A42" s="91"/>
      <c r="C42" s="110"/>
      <c r="D42" s="110"/>
      <c r="E42" s="84"/>
      <c r="F42" s="110"/>
      <c r="G42" s="110"/>
      <c r="H42" s="84"/>
    </row>
    <row r="43" spans="1:14" x14ac:dyDescent="0.3">
      <c r="A43" s="91"/>
      <c r="C43" s="110"/>
      <c r="D43" s="110"/>
      <c r="E43" s="84"/>
      <c r="F43" s="110"/>
      <c r="G43" s="110"/>
      <c r="H43" s="84"/>
    </row>
    <row r="44" spans="1:14" x14ac:dyDescent="0.3">
      <c r="A44" s="91"/>
      <c r="B44" s="63" t="s">
        <v>67</v>
      </c>
      <c r="C44" s="110"/>
      <c r="D44" s="110"/>
      <c r="E44" s="84"/>
      <c r="F44" s="110"/>
      <c r="G44" s="110"/>
      <c r="H44" s="84"/>
    </row>
    <row r="45" spans="1:14" ht="28.8" x14ac:dyDescent="0.3">
      <c r="A45" s="91"/>
      <c r="B45" s="63" t="s">
        <v>79</v>
      </c>
      <c r="C45" s="110"/>
      <c r="D45" s="110"/>
      <c r="E45" s="84"/>
      <c r="F45" s="110"/>
      <c r="G45" s="110"/>
      <c r="H45" s="84"/>
    </row>
    <row r="46" spans="1:14" x14ac:dyDescent="0.3">
      <c r="A46" s="91"/>
      <c r="B46" s="69" t="s">
        <v>89</v>
      </c>
      <c r="C46" s="110"/>
      <c r="D46" s="110"/>
      <c r="E46" s="84"/>
      <c r="F46" s="110"/>
      <c r="G46" s="110"/>
      <c r="H46" s="84"/>
    </row>
    <row r="47" spans="1:14" x14ac:dyDescent="0.3">
      <c r="A47" s="91"/>
      <c r="B47" s="77" t="s">
        <v>76</v>
      </c>
      <c r="C47" s="79"/>
      <c r="D47" s="68" t="s">
        <v>37</v>
      </c>
      <c r="E47" s="93" t="s">
        <v>38</v>
      </c>
      <c r="F47" s="110"/>
      <c r="G47" s="68" t="s">
        <v>37</v>
      </c>
      <c r="H47" s="93" t="s">
        <v>38</v>
      </c>
      <c r="J47" s="115" t="s">
        <v>37</v>
      </c>
      <c r="K47" s="149" t="s">
        <v>38</v>
      </c>
      <c r="M47" s="151" t="s">
        <v>37</v>
      </c>
      <c r="N47" s="155" t="s">
        <v>38</v>
      </c>
    </row>
    <row r="48" spans="1:14" x14ac:dyDescent="0.3">
      <c r="A48" s="91"/>
      <c r="B48" s="67" t="s">
        <v>85</v>
      </c>
      <c r="C48" s="79"/>
      <c r="D48" s="79">
        <v>0</v>
      </c>
      <c r="E48" s="101">
        <v>0</v>
      </c>
      <c r="F48" s="110"/>
      <c r="G48" s="110">
        <v>0</v>
      </c>
      <c r="H48" s="84">
        <v>0</v>
      </c>
    </row>
    <row r="49" spans="1:14" x14ac:dyDescent="0.3">
      <c r="A49" s="91"/>
      <c r="B49" s="67" t="s">
        <v>87</v>
      </c>
      <c r="C49" s="79"/>
      <c r="D49" s="79">
        <v>0</v>
      </c>
      <c r="E49" s="101">
        <v>0</v>
      </c>
      <c r="F49" s="110"/>
      <c r="G49" s="110">
        <v>0</v>
      </c>
      <c r="H49" s="84">
        <v>0</v>
      </c>
    </row>
    <row r="50" spans="1:14" x14ac:dyDescent="0.3">
      <c r="A50" s="91"/>
      <c r="B50" s="67" t="s">
        <v>88</v>
      </c>
      <c r="C50" s="79"/>
      <c r="D50" s="79">
        <f>D48-D49</f>
        <v>0</v>
      </c>
      <c r="E50" s="101">
        <f t="shared" ref="E50:H50" si="1">E48-E49</f>
        <v>0</v>
      </c>
      <c r="F50" s="79"/>
      <c r="G50" s="79">
        <f t="shared" si="1"/>
        <v>0</v>
      </c>
      <c r="H50" s="101">
        <f t="shared" si="1"/>
        <v>0</v>
      </c>
    </row>
    <row r="51" spans="1:14" x14ac:dyDescent="0.3">
      <c r="A51" s="91"/>
      <c r="B51" s="77" t="s">
        <v>83</v>
      </c>
      <c r="C51" s="79"/>
      <c r="D51" s="68" t="s">
        <v>37</v>
      </c>
      <c r="E51" s="93" t="s">
        <v>38</v>
      </c>
      <c r="F51" s="110"/>
      <c r="G51" s="68" t="s">
        <v>37</v>
      </c>
      <c r="H51" s="93" t="s">
        <v>38</v>
      </c>
      <c r="J51" s="115" t="s">
        <v>37</v>
      </c>
      <c r="K51" s="149" t="s">
        <v>38</v>
      </c>
      <c r="M51" s="151" t="s">
        <v>37</v>
      </c>
      <c r="N51" s="155" t="s">
        <v>38</v>
      </c>
    </row>
    <row r="52" spans="1:14" x14ac:dyDescent="0.3">
      <c r="A52" s="91"/>
      <c r="B52" s="67" t="s">
        <v>86</v>
      </c>
      <c r="C52" s="79"/>
      <c r="D52" s="79">
        <v>0</v>
      </c>
      <c r="E52" s="101">
        <v>0</v>
      </c>
      <c r="F52" s="110"/>
      <c r="G52" s="110">
        <v>0</v>
      </c>
      <c r="H52" s="84">
        <v>0</v>
      </c>
    </row>
    <row r="53" spans="1:14" x14ac:dyDescent="0.3">
      <c r="A53" s="91"/>
      <c r="B53" s="67" t="s">
        <v>87</v>
      </c>
      <c r="C53" s="79"/>
      <c r="D53" s="79">
        <v>0</v>
      </c>
      <c r="E53" s="101">
        <v>0</v>
      </c>
      <c r="F53" s="110"/>
      <c r="G53" s="110">
        <v>0</v>
      </c>
      <c r="H53" s="84">
        <v>0</v>
      </c>
    </row>
    <row r="54" spans="1:14" x14ac:dyDescent="0.3">
      <c r="A54" s="91"/>
      <c r="B54" s="67" t="s">
        <v>88</v>
      </c>
      <c r="C54" s="79"/>
      <c r="D54" s="79">
        <f>D52-D53</f>
        <v>0</v>
      </c>
      <c r="E54" s="101">
        <f t="shared" ref="E54:H54" si="2">E52-E53</f>
        <v>0</v>
      </c>
      <c r="F54" s="79"/>
      <c r="G54" s="79">
        <f t="shared" si="2"/>
        <v>0</v>
      </c>
      <c r="H54" s="101">
        <f t="shared" si="2"/>
        <v>0</v>
      </c>
    </row>
    <row r="55" spans="1:14" x14ac:dyDescent="0.3">
      <c r="A55" s="91"/>
      <c r="B55" s="77" t="s">
        <v>84</v>
      </c>
      <c r="C55" s="79"/>
      <c r="D55" s="68" t="s">
        <v>37</v>
      </c>
      <c r="E55" s="93" t="s">
        <v>38</v>
      </c>
      <c r="F55" s="110"/>
      <c r="G55" s="68" t="s">
        <v>37</v>
      </c>
      <c r="H55" s="93" t="s">
        <v>38</v>
      </c>
      <c r="J55" s="115" t="s">
        <v>37</v>
      </c>
      <c r="K55" s="149" t="s">
        <v>38</v>
      </c>
      <c r="M55" s="151" t="s">
        <v>37</v>
      </c>
      <c r="N55" s="155" t="s">
        <v>38</v>
      </c>
    </row>
    <row r="56" spans="1:14" x14ac:dyDescent="0.3">
      <c r="A56" s="91"/>
      <c r="B56" s="67" t="s">
        <v>90</v>
      </c>
      <c r="C56" s="79"/>
      <c r="D56" s="79">
        <f>D48+D52</f>
        <v>0</v>
      </c>
      <c r="E56" s="101">
        <f>E48+E52</f>
        <v>0</v>
      </c>
      <c r="F56" s="79"/>
      <c r="G56" s="79">
        <f t="shared" ref="G56:H57" si="3">G48+G52</f>
        <v>0</v>
      </c>
      <c r="H56" s="101">
        <f t="shared" si="3"/>
        <v>0</v>
      </c>
    </row>
    <row r="57" spans="1:14" x14ac:dyDescent="0.3">
      <c r="A57" s="91"/>
      <c r="B57" s="67" t="s">
        <v>91</v>
      </c>
      <c r="C57" s="79"/>
      <c r="D57" s="79">
        <f>D49+D53</f>
        <v>0</v>
      </c>
      <c r="E57" s="101">
        <f>E49+E53</f>
        <v>0</v>
      </c>
      <c r="F57" s="79"/>
      <c r="G57" s="79">
        <f t="shared" si="3"/>
        <v>0</v>
      </c>
      <c r="H57" s="101">
        <f t="shared" si="3"/>
        <v>0</v>
      </c>
    </row>
    <row r="58" spans="1:14" x14ac:dyDescent="0.3">
      <c r="B58" s="67" t="s">
        <v>92</v>
      </c>
      <c r="C58" s="79"/>
      <c r="D58" s="79">
        <f>D56-D57</f>
        <v>0</v>
      </c>
      <c r="E58" s="101">
        <f t="shared" ref="E58:H58" si="4">E56-E57</f>
        <v>0</v>
      </c>
      <c r="F58" s="79"/>
      <c r="G58" s="79">
        <f t="shared" si="4"/>
        <v>0</v>
      </c>
      <c r="H58" s="101">
        <f t="shared" si="4"/>
        <v>0</v>
      </c>
    </row>
    <row r="59" spans="1:14" x14ac:dyDescent="0.3">
      <c r="B59" s="69" t="s">
        <v>74</v>
      </c>
      <c r="C59" s="79"/>
      <c r="D59" s="79"/>
      <c r="E59" s="101"/>
      <c r="F59" s="110"/>
      <c r="G59" s="110"/>
      <c r="H59" s="84"/>
    </row>
    <row r="60" spans="1:14" x14ac:dyDescent="0.3">
      <c r="B60" s="63" t="s">
        <v>75</v>
      </c>
      <c r="C60" s="79"/>
      <c r="D60" s="79"/>
      <c r="E60" s="101"/>
      <c r="F60" s="110"/>
      <c r="G60" s="110"/>
      <c r="H60" s="84"/>
    </row>
    <row r="61" spans="1:14" ht="28.8" x14ac:dyDescent="0.3">
      <c r="B61" s="63" t="s">
        <v>80</v>
      </c>
      <c r="C61" s="79"/>
      <c r="D61" s="79"/>
      <c r="E61" s="101"/>
      <c r="F61" s="110"/>
      <c r="G61" s="110"/>
      <c r="H61" s="84"/>
    </row>
    <row r="62" spans="1:14" ht="28.8" x14ac:dyDescent="0.3">
      <c r="B62" s="63" t="s">
        <v>81</v>
      </c>
      <c r="C62" s="80"/>
      <c r="D62" s="80"/>
      <c r="E62" s="102"/>
      <c r="F62" s="110"/>
      <c r="G62" s="110"/>
      <c r="H62" s="84"/>
    </row>
    <row r="63" spans="1:14" ht="28.8" x14ac:dyDescent="0.3">
      <c r="B63" s="63" t="s">
        <v>82</v>
      </c>
      <c r="C63" s="80"/>
      <c r="D63" s="80"/>
      <c r="E63" s="102"/>
      <c r="F63" s="110"/>
      <c r="G63" s="110"/>
      <c r="H63" s="84"/>
    </row>
    <row r="67" spans="2:14" x14ac:dyDescent="0.3">
      <c r="B67" s="77" t="s">
        <v>32</v>
      </c>
    </row>
    <row r="68" spans="2:14" x14ac:dyDescent="0.3">
      <c r="B68" s="63" t="s">
        <v>34</v>
      </c>
      <c r="D68" s="63">
        <v>4654</v>
      </c>
      <c r="E68" s="103">
        <v>29147677</v>
      </c>
      <c r="G68" s="105">
        <v>4342</v>
      </c>
      <c r="H68" s="119">
        <v>27115332</v>
      </c>
      <c r="J68" s="105">
        <v>4092</v>
      </c>
      <c r="K68" s="150">
        <v>25404484</v>
      </c>
      <c r="M68" s="116">
        <v>3751</v>
      </c>
      <c r="N68" s="156">
        <v>23402482</v>
      </c>
    </row>
  </sheetData>
  <mergeCells count="4">
    <mergeCell ref="C2:E2"/>
    <mergeCell ref="F2:H2"/>
    <mergeCell ref="I2:K2"/>
    <mergeCell ref="L2:N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3">
    <tabColor theme="9"/>
  </sheetPr>
  <dimension ref="A1:N68"/>
  <sheetViews>
    <sheetView zoomScale="80" zoomScaleNormal="80" workbookViewId="0">
      <pane xSplit="2" ySplit="2" topLeftCell="L3" activePane="bottomRight" state="frozen"/>
      <selection activeCell="I1" sqref="I1:K68"/>
      <selection pane="topRight" activeCell="I1" sqref="I1:K68"/>
      <selection pane="bottomLeft" activeCell="I1" sqref="I1:K68"/>
      <selection pane="bottomRight" activeCell="N3" sqref="N3"/>
    </sheetView>
  </sheetViews>
  <sheetFormatPr baseColWidth="10" defaultColWidth="11.44140625" defaultRowHeight="14.4" x14ac:dyDescent="0.3"/>
  <cols>
    <col min="1" max="1" width="40.6640625" style="63" customWidth="1"/>
    <col min="2" max="2" width="53.6640625" style="63" customWidth="1"/>
    <col min="3" max="4" width="17.5546875" style="63" customWidth="1"/>
    <col min="5" max="5" width="17.5546875" style="103" customWidth="1"/>
    <col min="6" max="7" width="17.5546875" style="109" customWidth="1"/>
    <col min="8" max="8" width="17.5546875" style="92" customWidth="1"/>
    <col min="9" max="10" width="15.6640625" style="147" customWidth="1"/>
    <col min="11" max="11" width="15.6640625" style="148" customWidth="1"/>
    <col min="12" max="13" width="15.6640625" style="151" customWidth="1"/>
    <col min="14" max="14" width="15.6640625" style="155" customWidth="1"/>
    <col min="15" max="16384" width="11.44140625" style="109"/>
  </cols>
  <sheetData>
    <row r="1" spans="1:14" x14ac:dyDescent="0.3">
      <c r="A1" s="72" t="s">
        <v>36</v>
      </c>
      <c r="B1" s="75" t="s">
        <v>35</v>
      </c>
      <c r="C1" s="109"/>
      <c r="D1" s="109"/>
      <c r="E1" s="92"/>
    </row>
    <row r="2" spans="1:14" x14ac:dyDescent="0.3">
      <c r="A2" s="69" t="s">
        <v>54</v>
      </c>
      <c r="B2" s="69" t="s">
        <v>29</v>
      </c>
      <c r="C2" s="163" t="s">
        <v>39</v>
      </c>
      <c r="D2" s="163"/>
      <c r="E2" s="163"/>
      <c r="F2" s="163" t="s">
        <v>40</v>
      </c>
      <c r="G2" s="163"/>
      <c r="H2" s="163"/>
      <c r="I2" s="164" t="s">
        <v>41</v>
      </c>
      <c r="J2" s="164"/>
      <c r="K2" s="164"/>
      <c r="L2" s="164" t="s">
        <v>176</v>
      </c>
      <c r="M2" s="164"/>
      <c r="N2" s="164"/>
    </row>
    <row r="3" spans="1:14" x14ac:dyDescent="0.3">
      <c r="A3" s="91"/>
      <c r="B3" s="76" t="s">
        <v>42</v>
      </c>
      <c r="C3" s="66"/>
      <c r="D3" s="68" t="s">
        <v>37</v>
      </c>
      <c r="E3" s="93" t="s">
        <v>38</v>
      </c>
      <c r="F3" s="66"/>
      <c r="G3" s="68" t="s">
        <v>37</v>
      </c>
      <c r="H3" s="93" t="s">
        <v>38</v>
      </c>
      <c r="J3" s="115" t="s">
        <v>37</v>
      </c>
      <c r="K3" s="149" t="s">
        <v>38</v>
      </c>
      <c r="M3" s="151" t="s">
        <v>37</v>
      </c>
      <c r="N3" s="155" t="s">
        <v>38</v>
      </c>
    </row>
    <row r="4" spans="1:14" x14ac:dyDescent="0.3">
      <c r="A4" s="91"/>
      <c r="B4" s="67" t="s">
        <v>45</v>
      </c>
      <c r="C4" s="85"/>
      <c r="D4" s="86">
        <v>0</v>
      </c>
      <c r="E4" s="94">
        <v>0</v>
      </c>
      <c r="F4" s="85"/>
      <c r="G4" s="86">
        <v>0</v>
      </c>
      <c r="H4" s="94">
        <v>0</v>
      </c>
    </row>
    <row r="5" spans="1:14" ht="28.8" x14ac:dyDescent="0.3">
      <c r="A5" s="130"/>
      <c r="B5" s="67" t="s">
        <v>77</v>
      </c>
      <c r="C5" s="85"/>
      <c r="D5" s="86">
        <v>0</v>
      </c>
      <c r="E5" s="131">
        <v>0</v>
      </c>
      <c r="F5" s="85"/>
      <c r="G5" s="86">
        <v>0</v>
      </c>
      <c r="H5" s="94">
        <v>0</v>
      </c>
    </row>
    <row r="6" spans="1:14" ht="28.8" x14ac:dyDescent="0.3">
      <c r="A6" s="130" t="s">
        <v>133</v>
      </c>
      <c r="B6" s="67" t="s">
        <v>46</v>
      </c>
      <c r="C6" s="85"/>
      <c r="D6" s="86">
        <v>320313</v>
      </c>
      <c r="E6" s="131">
        <v>67058100</v>
      </c>
      <c r="F6" s="85"/>
      <c r="G6" s="86">
        <v>398402</v>
      </c>
      <c r="H6" s="94">
        <v>79147442</v>
      </c>
      <c r="J6" s="105">
        <v>470368</v>
      </c>
      <c r="K6" s="150">
        <v>90824635</v>
      </c>
      <c r="M6" s="116">
        <v>427430</v>
      </c>
      <c r="N6" s="156">
        <v>81688577</v>
      </c>
    </row>
    <row r="7" spans="1:14" ht="28.8" x14ac:dyDescent="0.3">
      <c r="A7" s="130" t="s">
        <v>135</v>
      </c>
      <c r="B7" s="67" t="s">
        <v>47</v>
      </c>
      <c r="C7" s="85"/>
      <c r="D7" s="86">
        <v>61135</v>
      </c>
      <c r="E7" s="131">
        <v>20980461</v>
      </c>
      <c r="F7" s="85"/>
      <c r="G7" s="86">
        <v>74448</v>
      </c>
      <c r="H7" s="94">
        <v>25332941</v>
      </c>
      <c r="J7" s="105">
        <v>80050</v>
      </c>
      <c r="K7" s="150">
        <v>27157779</v>
      </c>
      <c r="M7" s="116">
        <v>70463</v>
      </c>
      <c r="N7" s="156">
        <v>23676696</v>
      </c>
    </row>
    <row r="8" spans="1:14" x14ac:dyDescent="0.3">
      <c r="A8" s="130"/>
      <c r="B8" s="67" t="s">
        <v>48</v>
      </c>
      <c r="C8" s="85"/>
      <c r="D8" s="86">
        <f>SUM(D4:D7)</f>
        <v>381448</v>
      </c>
      <c r="E8" s="131">
        <f>SUM(E4:E7)</f>
        <v>88038561</v>
      </c>
      <c r="F8" s="85"/>
      <c r="G8" s="86">
        <f>SUM(G4:G7)</f>
        <v>472850</v>
      </c>
      <c r="H8" s="94">
        <f>SUM(H4:H7)</f>
        <v>104480383</v>
      </c>
      <c r="J8" s="105">
        <f>SUM(J4:J7)</f>
        <v>550418</v>
      </c>
      <c r="K8" s="150">
        <f>SUM(K4:K7)</f>
        <v>117982414</v>
      </c>
      <c r="M8" s="116">
        <f>SUM(M4:M7)</f>
        <v>497893</v>
      </c>
      <c r="N8" s="156">
        <f>SUM(N4:N7)</f>
        <v>105365273</v>
      </c>
    </row>
    <row r="9" spans="1:14" x14ac:dyDescent="0.3">
      <c r="A9" s="91"/>
      <c r="B9" s="76" t="s">
        <v>43</v>
      </c>
      <c r="C9" s="66"/>
      <c r="D9" s="68" t="s">
        <v>37</v>
      </c>
      <c r="E9" s="93" t="s">
        <v>38</v>
      </c>
      <c r="F9" s="66"/>
      <c r="G9" s="68" t="s">
        <v>37</v>
      </c>
      <c r="H9" s="93" t="s">
        <v>38</v>
      </c>
      <c r="J9" s="115" t="s">
        <v>37</v>
      </c>
      <c r="K9" s="149" t="s">
        <v>38</v>
      </c>
      <c r="M9" s="151" t="s">
        <v>37</v>
      </c>
      <c r="N9" s="155" t="s">
        <v>38</v>
      </c>
    </row>
    <row r="10" spans="1:14" ht="28.8" x14ac:dyDescent="0.3">
      <c r="A10" s="91" t="s">
        <v>146</v>
      </c>
      <c r="B10" s="78"/>
      <c r="C10" s="87"/>
      <c r="D10" s="88">
        <v>4584</v>
      </c>
      <c r="E10" s="95">
        <v>65210457</v>
      </c>
      <c r="F10" s="67"/>
      <c r="G10" s="81">
        <v>5021</v>
      </c>
      <c r="H10" s="118">
        <v>67213067</v>
      </c>
      <c r="J10" s="147">
        <v>5303</v>
      </c>
      <c r="K10" s="148">
        <v>69401856</v>
      </c>
      <c r="M10" s="151">
        <v>4712</v>
      </c>
      <c r="N10" s="155">
        <v>57811777</v>
      </c>
    </row>
    <row r="11" spans="1:14" ht="28.8" x14ac:dyDescent="0.3">
      <c r="A11" s="130" t="s">
        <v>134</v>
      </c>
      <c r="B11" s="78"/>
      <c r="C11" s="87"/>
      <c r="D11" s="88">
        <v>3037</v>
      </c>
      <c r="E11" s="132">
        <v>2710766</v>
      </c>
      <c r="F11" s="67"/>
      <c r="G11" s="81">
        <v>3265</v>
      </c>
      <c r="H11" s="118">
        <v>2720399</v>
      </c>
      <c r="J11" s="147">
        <v>3636</v>
      </c>
      <c r="K11" s="148">
        <v>3170006</v>
      </c>
      <c r="M11" s="151">
        <v>3141</v>
      </c>
      <c r="N11" s="155">
        <v>2803570</v>
      </c>
    </row>
    <row r="12" spans="1:14" ht="28.8" x14ac:dyDescent="0.3">
      <c r="A12" s="130" t="s">
        <v>53</v>
      </c>
      <c r="B12" s="78"/>
      <c r="C12" s="87"/>
      <c r="D12" s="88">
        <v>1330</v>
      </c>
      <c r="E12" s="132">
        <v>968048</v>
      </c>
      <c r="F12" s="67"/>
      <c r="G12" s="81">
        <v>1620</v>
      </c>
      <c r="H12" s="118">
        <v>1763216</v>
      </c>
      <c r="J12" s="147">
        <v>1526</v>
      </c>
      <c r="K12" s="148">
        <v>1634141</v>
      </c>
      <c r="M12" s="151">
        <v>1314</v>
      </c>
      <c r="N12" s="155">
        <v>1101316</v>
      </c>
    </row>
    <row r="13" spans="1:14" ht="28.8" x14ac:dyDescent="0.3">
      <c r="A13" s="91" t="s">
        <v>55</v>
      </c>
      <c r="B13" s="78"/>
      <c r="C13" s="87"/>
      <c r="D13" s="88">
        <v>375</v>
      </c>
      <c r="E13" s="95">
        <v>142418</v>
      </c>
      <c r="F13" s="67"/>
      <c r="G13" s="81">
        <v>491</v>
      </c>
      <c r="H13" s="118">
        <v>226759</v>
      </c>
      <c r="J13" s="147">
        <v>510</v>
      </c>
      <c r="K13" s="148">
        <v>265049</v>
      </c>
      <c r="M13" s="151">
        <v>459</v>
      </c>
      <c r="N13" s="155">
        <v>208592</v>
      </c>
    </row>
    <row r="14" spans="1:14" ht="43.2" x14ac:dyDescent="0.3">
      <c r="A14" s="91" t="s">
        <v>52</v>
      </c>
      <c r="B14" s="67" t="s">
        <v>45</v>
      </c>
      <c r="C14" s="85"/>
      <c r="D14" s="86">
        <f>D10+D11</f>
        <v>7621</v>
      </c>
      <c r="E14" s="94">
        <f>E10+E11</f>
        <v>67921223</v>
      </c>
      <c r="F14" s="66"/>
      <c r="G14" s="83">
        <f>G10+G11</f>
        <v>8286</v>
      </c>
      <c r="H14" s="117">
        <f>H10+H11</f>
        <v>69933466</v>
      </c>
      <c r="J14" s="105">
        <v>8939</v>
      </c>
      <c r="K14" s="150">
        <v>72571862</v>
      </c>
      <c r="M14" s="116">
        <v>7853</v>
      </c>
      <c r="N14" s="156">
        <v>60615347</v>
      </c>
    </row>
    <row r="15" spans="1:14" ht="28.8" x14ac:dyDescent="0.3">
      <c r="A15" s="130"/>
      <c r="B15" s="67" t="s">
        <v>77</v>
      </c>
      <c r="C15" s="85"/>
      <c r="D15" s="86">
        <v>0</v>
      </c>
      <c r="E15" s="131">
        <v>0</v>
      </c>
      <c r="F15" s="66"/>
      <c r="G15" s="83">
        <v>0</v>
      </c>
      <c r="H15" s="117">
        <v>0</v>
      </c>
    </row>
    <row r="16" spans="1:14" ht="28.8" x14ac:dyDescent="0.3">
      <c r="A16" s="130" t="s">
        <v>53</v>
      </c>
      <c r="B16" s="67" t="s">
        <v>46</v>
      </c>
      <c r="C16" s="85"/>
      <c r="D16" s="86">
        <f>D12</f>
        <v>1330</v>
      </c>
      <c r="E16" s="131">
        <f>E12</f>
        <v>968048</v>
      </c>
      <c r="F16" s="66"/>
      <c r="G16" s="83">
        <f>G12</f>
        <v>1620</v>
      </c>
      <c r="H16" s="117">
        <f>H12</f>
        <v>1763216</v>
      </c>
      <c r="J16" s="105">
        <v>1526</v>
      </c>
      <c r="K16" s="150">
        <v>1634141</v>
      </c>
      <c r="M16" s="116">
        <v>1314</v>
      </c>
      <c r="N16" s="156">
        <v>1101316</v>
      </c>
    </row>
    <row r="17" spans="1:14" ht="28.8" x14ac:dyDescent="0.3">
      <c r="A17" s="91" t="s">
        <v>55</v>
      </c>
      <c r="B17" s="67" t="s">
        <v>47</v>
      </c>
      <c r="C17" s="85"/>
      <c r="D17" s="86">
        <f>D13</f>
        <v>375</v>
      </c>
      <c r="E17" s="94">
        <f>E13</f>
        <v>142418</v>
      </c>
      <c r="F17" s="66"/>
      <c r="G17" s="83">
        <f>G13</f>
        <v>491</v>
      </c>
      <c r="H17" s="117">
        <f>H13</f>
        <v>226759</v>
      </c>
      <c r="J17" s="105">
        <v>510</v>
      </c>
      <c r="K17" s="150">
        <v>265049</v>
      </c>
      <c r="M17" s="116">
        <v>459</v>
      </c>
      <c r="N17" s="156">
        <v>208592</v>
      </c>
    </row>
    <row r="18" spans="1:14" x14ac:dyDescent="0.3">
      <c r="A18" s="91"/>
      <c r="B18" s="67" t="s">
        <v>49</v>
      </c>
      <c r="C18" s="85"/>
      <c r="D18" s="86">
        <f>SUM(D14:D17)</f>
        <v>9326</v>
      </c>
      <c r="E18" s="94">
        <f>SUM(E14:E17)</f>
        <v>69031689</v>
      </c>
      <c r="F18" s="66"/>
      <c r="G18" s="83">
        <f>SUM(G14:G17)</f>
        <v>10397</v>
      </c>
      <c r="H18" s="117">
        <f>SUM(H14:H17)</f>
        <v>71923441</v>
      </c>
      <c r="J18" s="105">
        <f>SUM(J14:J17)</f>
        <v>10975</v>
      </c>
      <c r="K18" s="150">
        <f>SUM(K14:K17)</f>
        <v>74471052</v>
      </c>
      <c r="M18" s="116">
        <f>SUM(M14:M17)</f>
        <v>9626</v>
      </c>
      <c r="N18" s="156">
        <f>SUM(N14:N17)</f>
        <v>61925255</v>
      </c>
    </row>
    <row r="19" spans="1:14" x14ac:dyDescent="0.3">
      <c r="A19" s="130"/>
      <c r="B19" s="71" t="s">
        <v>44</v>
      </c>
      <c r="C19" s="85"/>
      <c r="D19" s="85"/>
      <c r="E19" s="133"/>
      <c r="F19" s="66"/>
      <c r="G19" s="66"/>
      <c r="H19" s="97"/>
    </row>
    <row r="20" spans="1:14" ht="57.6" x14ac:dyDescent="0.3">
      <c r="A20" s="130" t="s">
        <v>56</v>
      </c>
      <c r="B20" s="67" t="s">
        <v>50</v>
      </c>
      <c r="C20" s="85"/>
      <c r="D20" s="86">
        <f>D11+D12+D13</f>
        <v>4742</v>
      </c>
      <c r="E20" s="131">
        <f>E11+E12+E13</f>
        <v>3821232</v>
      </c>
      <c r="F20" s="66"/>
      <c r="G20" s="83">
        <f>G11+G12+G13</f>
        <v>5376</v>
      </c>
      <c r="H20" s="117">
        <f>H11+H12+H13</f>
        <v>4710374</v>
      </c>
      <c r="J20" s="105">
        <v>5672</v>
      </c>
      <c r="K20" s="150">
        <v>5069196</v>
      </c>
      <c r="M20" s="116">
        <v>4914</v>
      </c>
      <c r="N20" s="156">
        <v>4113478</v>
      </c>
    </row>
    <row r="21" spans="1:14" ht="28.8" x14ac:dyDescent="0.3">
      <c r="A21" s="91" t="s">
        <v>57</v>
      </c>
      <c r="B21" s="67" t="s">
        <v>51</v>
      </c>
      <c r="C21" s="85"/>
      <c r="D21" s="86">
        <f>D10</f>
        <v>4584</v>
      </c>
      <c r="E21" s="94">
        <f>E10</f>
        <v>65210457</v>
      </c>
      <c r="F21" s="66"/>
      <c r="G21" s="83">
        <f>G10</f>
        <v>5021</v>
      </c>
      <c r="H21" s="117">
        <f>H10</f>
        <v>67213067</v>
      </c>
      <c r="J21" s="105">
        <v>5303</v>
      </c>
      <c r="K21" s="150">
        <v>69401856</v>
      </c>
      <c r="M21" s="116">
        <v>4712</v>
      </c>
      <c r="N21" s="156">
        <v>57811777</v>
      </c>
    </row>
    <row r="22" spans="1:14" x14ac:dyDescent="0.3">
      <c r="A22" s="91"/>
      <c r="B22" s="76" t="s">
        <v>58</v>
      </c>
      <c r="C22" s="66"/>
      <c r="D22" s="68" t="s">
        <v>37</v>
      </c>
      <c r="E22" s="93" t="s">
        <v>38</v>
      </c>
      <c r="F22" s="66"/>
      <c r="G22" s="68" t="s">
        <v>37</v>
      </c>
      <c r="H22" s="93" t="s">
        <v>38</v>
      </c>
      <c r="J22" s="115" t="s">
        <v>37</v>
      </c>
      <c r="K22" s="149" t="s">
        <v>38</v>
      </c>
      <c r="M22" s="151" t="s">
        <v>37</v>
      </c>
      <c r="N22" s="155" t="s">
        <v>38</v>
      </c>
    </row>
    <row r="23" spans="1:14" x14ac:dyDescent="0.3">
      <c r="A23" s="130"/>
      <c r="B23" s="67" t="s">
        <v>45</v>
      </c>
      <c r="C23" s="85"/>
      <c r="D23" s="85"/>
      <c r="E23" s="133"/>
      <c r="F23" s="66"/>
      <c r="G23" s="66"/>
      <c r="H23" s="97"/>
    </row>
    <row r="24" spans="1:14" ht="28.8" x14ac:dyDescent="0.3">
      <c r="A24" s="130"/>
      <c r="B24" s="67" t="s">
        <v>77</v>
      </c>
      <c r="C24" s="85"/>
      <c r="D24" s="85"/>
      <c r="E24" s="133"/>
      <c r="F24" s="66"/>
      <c r="G24" s="66"/>
      <c r="H24" s="97"/>
    </row>
    <row r="25" spans="1:14" x14ac:dyDescent="0.3">
      <c r="A25" s="91"/>
      <c r="B25" s="63" t="s">
        <v>46</v>
      </c>
      <c r="C25" s="89"/>
      <c r="D25" s="89"/>
      <c r="E25" s="96"/>
      <c r="F25" s="64"/>
      <c r="G25" s="64"/>
      <c r="H25" s="97"/>
    </row>
    <row r="26" spans="1:14" x14ac:dyDescent="0.3">
      <c r="A26" s="91"/>
      <c r="B26" s="63" t="s">
        <v>47</v>
      </c>
      <c r="C26" s="89"/>
      <c r="D26" s="89"/>
      <c r="E26" s="96"/>
      <c r="F26" s="64"/>
      <c r="G26" s="64"/>
      <c r="H26" s="97"/>
    </row>
    <row r="27" spans="1:14" x14ac:dyDescent="0.3">
      <c r="A27" s="91"/>
      <c r="B27" s="63" t="s">
        <v>60</v>
      </c>
      <c r="C27" s="89"/>
      <c r="D27" s="89"/>
      <c r="E27" s="96"/>
      <c r="F27" s="64"/>
      <c r="G27" s="64"/>
      <c r="H27" s="97"/>
    </row>
    <row r="28" spans="1:14" x14ac:dyDescent="0.3">
      <c r="A28" s="91"/>
      <c r="B28" s="77" t="s">
        <v>59</v>
      </c>
      <c r="C28" s="65" t="s">
        <v>30</v>
      </c>
      <c r="D28" s="65" t="s">
        <v>72</v>
      </c>
      <c r="E28" s="93" t="s">
        <v>31</v>
      </c>
      <c r="F28" s="65" t="s">
        <v>30</v>
      </c>
      <c r="G28" s="65" t="s">
        <v>72</v>
      </c>
      <c r="H28" s="93" t="s">
        <v>31</v>
      </c>
      <c r="I28" s="115" t="s">
        <v>30</v>
      </c>
      <c r="J28" s="115" t="s">
        <v>72</v>
      </c>
      <c r="K28" s="149" t="s">
        <v>31</v>
      </c>
      <c r="L28" s="151" t="s">
        <v>30</v>
      </c>
      <c r="M28" s="151" t="s">
        <v>72</v>
      </c>
      <c r="N28" s="155" t="s">
        <v>31</v>
      </c>
    </row>
    <row r="29" spans="1:14" x14ac:dyDescent="0.3">
      <c r="A29" s="91"/>
      <c r="B29" s="63" t="s">
        <v>61</v>
      </c>
      <c r="C29" s="73">
        <v>17939</v>
      </c>
      <c r="D29" s="73">
        <v>334</v>
      </c>
      <c r="E29" s="98">
        <v>18273</v>
      </c>
      <c r="F29" s="104">
        <v>20887</v>
      </c>
      <c r="G29" s="104">
        <v>433</v>
      </c>
      <c r="H29" s="117">
        <v>21320</v>
      </c>
      <c r="I29" s="105">
        <f t="shared" ref="I29:N29" si="0">F34</f>
        <v>22643</v>
      </c>
      <c r="J29" s="105">
        <f t="shared" si="0"/>
        <v>561</v>
      </c>
      <c r="K29" s="150">
        <f t="shared" si="0"/>
        <v>23204</v>
      </c>
      <c r="L29" s="116">
        <f t="shared" si="0"/>
        <v>24169</v>
      </c>
      <c r="M29" s="116">
        <f t="shared" si="0"/>
        <v>485</v>
      </c>
      <c r="N29" s="156">
        <f t="shared" si="0"/>
        <v>24654</v>
      </c>
    </row>
    <row r="30" spans="1:14" x14ac:dyDescent="0.3">
      <c r="A30" s="91" t="s">
        <v>95</v>
      </c>
      <c r="B30" s="63" t="s">
        <v>62</v>
      </c>
      <c r="C30" s="110"/>
      <c r="D30" s="110"/>
      <c r="E30" s="84">
        <v>5383</v>
      </c>
      <c r="F30" s="110"/>
      <c r="G30" s="110"/>
      <c r="H30" s="119">
        <v>4414</v>
      </c>
      <c r="K30" s="150">
        <v>3999</v>
      </c>
      <c r="N30" s="156">
        <v>5787</v>
      </c>
    </row>
    <row r="31" spans="1:14" x14ac:dyDescent="0.3">
      <c r="A31" s="91"/>
      <c r="B31" s="63" t="s">
        <v>63</v>
      </c>
      <c r="C31" s="110"/>
      <c r="D31" s="110"/>
      <c r="E31" s="84"/>
      <c r="F31" s="110"/>
      <c r="G31" s="110"/>
      <c r="H31" s="84"/>
    </row>
    <row r="32" spans="1:14" ht="28.8" x14ac:dyDescent="0.3">
      <c r="A32" s="91" t="s">
        <v>68</v>
      </c>
      <c r="C32" s="110"/>
      <c r="D32" s="110"/>
      <c r="E32" s="84">
        <v>21271</v>
      </c>
      <c r="F32" s="110"/>
      <c r="G32" s="110"/>
      <c r="H32" s="119">
        <v>23157</v>
      </c>
      <c r="K32" s="148">
        <v>24607</v>
      </c>
      <c r="N32" s="155">
        <v>26068</v>
      </c>
    </row>
    <row r="33" spans="1:14" ht="28.8" x14ac:dyDescent="0.3">
      <c r="A33" s="91" t="s">
        <v>69</v>
      </c>
      <c r="C33" s="110"/>
      <c r="D33" s="110"/>
      <c r="E33" s="84">
        <v>49</v>
      </c>
      <c r="F33" s="110"/>
      <c r="G33" s="110"/>
      <c r="H33" s="119">
        <v>47</v>
      </c>
      <c r="K33" s="148">
        <v>47</v>
      </c>
      <c r="N33" s="155">
        <v>47</v>
      </c>
    </row>
    <row r="34" spans="1:14" ht="43.2" x14ac:dyDescent="0.3">
      <c r="A34" s="91" t="s">
        <v>73</v>
      </c>
      <c r="B34" s="63" t="s">
        <v>64</v>
      </c>
      <c r="C34" s="110">
        <f>E34-D34</f>
        <v>20887</v>
      </c>
      <c r="D34" s="110">
        <v>433</v>
      </c>
      <c r="E34" s="84">
        <f>SUM(E32:E33)</f>
        <v>21320</v>
      </c>
      <c r="F34" s="105">
        <f>H34-G34</f>
        <v>22643</v>
      </c>
      <c r="G34" s="105">
        <v>561</v>
      </c>
      <c r="H34" s="119">
        <f>SUM(H32:H33)</f>
        <v>23204</v>
      </c>
      <c r="I34" s="105">
        <f>K34-J34</f>
        <v>24169</v>
      </c>
      <c r="J34" s="105">
        <v>485</v>
      </c>
      <c r="K34" s="150">
        <f>SUM(K32:K33)</f>
        <v>24654</v>
      </c>
      <c r="L34" s="116">
        <f>N34-M34</f>
        <v>25540</v>
      </c>
      <c r="M34" s="116">
        <v>575</v>
      </c>
      <c r="N34" s="156">
        <f>SUM(N32:N33)</f>
        <v>26115</v>
      </c>
    </row>
    <row r="35" spans="1:14" ht="28.8" x14ac:dyDescent="0.3">
      <c r="A35" s="91" t="s">
        <v>96</v>
      </c>
      <c r="C35" s="110"/>
      <c r="D35" s="110"/>
      <c r="E35" s="84">
        <v>32387</v>
      </c>
      <c r="F35" s="110"/>
      <c r="G35" s="110"/>
      <c r="H35" s="119">
        <v>38372</v>
      </c>
      <c r="K35" s="148">
        <v>14291</v>
      </c>
      <c r="N35" s="155">
        <v>13638</v>
      </c>
    </row>
    <row r="36" spans="1:14" ht="28.8" x14ac:dyDescent="0.3">
      <c r="A36" s="91" t="s">
        <v>97</v>
      </c>
      <c r="C36" s="110"/>
      <c r="D36" s="110"/>
      <c r="E36" s="84">
        <v>99</v>
      </c>
      <c r="F36" s="110"/>
      <c r="G36" s="110"/>
      <c r="H36" s="119">
        <v>99</v>
      </c>
      <c r="K36" s="148">
        <v>34</v>
      </c>
      <c r="N36" s="155">
        <v>26</v>
      </c>
    </row>
    <row r="37" spans="1:14" ht="28.8" x14ac:dyDescent="0.3">
      <c r="A37" s="91"/>
      <c r="B37" s="63" t="s">
        <v>78</v>
      </c>
      <c r="C37" s="90"/>
      <c r="D37" s="90"/>
      <c r="E37" s="100">
        <f>SUM(E35:E36)</f>
        <v>32486</v>
      </c>
      <c r="F37" s="110"/>
      <c r="G37" s="110"/>
      <c r="H37" s="119">
        <f>SUM(H35:H36)</f>
        <v>38471</v>
      </c>
      <c r="K37" s="150">
        <f>SUM(K35:K36)</f>
        <v>14325</v>
      </c>
      <c r="N37" s="156">
        <f>SUM(N35:N36)</f>
        <v>13664</v>
      </c>
    </row>
    <row r="38" spans="1:14" ht="28.8" x14ac:dyDescent="0.3">
      <c r="A38" s="91" t="s">
        <v>70</v>
      </c>
      <c r="C38" s="90"/>
      <c r="D38" s="90"/>
      <c r="E38" s="100">
        <v>0</v>
      </c>
      <c r="F38" s="110"/>
      <c r="G38" s="110"/>
      <c r="H38" s="119">
        <v>28140</v>
      </c>
      <c r="K38" s="148">
        <v>29985</v>
      </c>
      <c r="N38" s="155">
        <v>31711</v>
      </c>
    </row>
    <row r="39" spans="1:14" ht="28.8" x14ac:dyDescent="0.3">
      <c r="A39" s="130" t="s">
        <v>71</v>
      </c>
      <c r="B39" s="130"/>
      <c r="C39" s="134"/>
      <c r="D39" s="90"/>
      <c r="E39" s="100">
        <v>0</v>
      </c>
      <c r="F39" s="110"/>
      <c r="G39" s="110"/>
      <c r="H39" s="119">
        <v>78</v>
      </c>
      <c r="K39" s="148">
        <v>77</v>
      </c>
      <c r="N39" s="155">
        <v>78</v>
      </c>
    </row>
    <row r="40" spans="1:14" x14ac:dyDescent="0.3">
      <c r="A40" s="91"/>
      <c r="B40" s="63" t="s">
        <v>65</v>
      </c>
      <c r="C40" s="90">
        <f>E40-D40</f>
        <v>20887</v>
      </c>
      <c r="D40" s="90">
        <f>D34</f>
        <v>433</v>
      </c>
      <c r="E40" s="100">
        <f>E34</f>
        <v>21320</v>
      </c>
      <c r="F40" s="105">
        <f>H40-G40</f>
        <v>27657</v>
      </c>
      <c r="G40" s="105">
        <f>G34</f>
        <v>561</v>
      </c>
      <c r="H40" s="119">
        <f>SUM(H38:H39)</f>
        <v>28218</v>
      </c>
      <c r="I40" s="105">
        <f>K40-J40</f>
        <v>29863</v>
      </c>
      <c r="J40" s="105">
        <v>199</v>
      </c>
      <c r="K40" s="150">
        <f>SUM(K38:K39)</f>
        <v>30062</v>
      </c>
      <c r="L40" s="116">
        <f>N40-M40</f>
        <v>31588</v>
      </c>
      <c r="M40" s="116">
        <v>201</v>
      </c>
      <c r="N40" s="156">
        <f>SUM(N38:N39)</f>
        <v>31789</v>
      </c>
    </row>
    <row r="41" spans="1:14" x14ac:dyDescent="0.3">
      <c r="A41" s="91"/>
      <c r="B41" s="63" t="s">
        <v>66</v>
      </c>
      <c r="C41" s="90"/>
      <c r="D41" s="90"/>
      <c r="E41" s="100"/>
      <c r="F41" s="110"/>
      <c r="G41" s="110"/>
      <c r="H41" s="84"/>
    </row>
    <row r="42" spans="1:14" x14ac:dyDescent="0.3">
      <c r="A42" s="91"/>
      <c r="C42" s="90"/>
      <c r="D42" s="90"/>
      <c r="E42" s="100"/>
      <c r="F42" s="110"/>
      <c r="G42" s="110"/>
      <c r="H42" s="84"/>
    </row>
    <row r="43" spans="1:14" x14ac:dyDescent="0.3">
      <c r="C43" s="90"/>
      <c r="D43" s="90"/>
      <c r="E43" s="100"/>
      <c r="F43" s="110"/>
      <c r="G43" s="110"/>
      <c r="H43" s="84"/>
    </row>
    <row r="44" spans="1:14" x14ac:dyDescent="0.3">
      <c r="B44" s="63" t="s">
        <v>67</v>
      </c>
      <c r="C44" s="90"/>
      <c r="D44" s="90"/>
      <c r="E44" s="100"/>
      <c r="F44" s="110"/>
      <c r="G44" s="110"/>
      <c r="H44" s="84"/>
    </row>
    <row r="45" spans="1:14" ht="28.8" x14ac:dyDescent="0.3">
      <c r="B45" s="63" t="s">
        <v>79</v>
      </c>
      <c r="C45" s="110"/>
      <c r="D45" s="110"/>
      <c r="E45" s="84"/>
      <c r="F45" s="110"/>
      <c r="G45" s="110"/>
      <c r="H45" s="84"/>
    </row>
    <row r="46" spans="1:14" x14ac:dyDescent="0.3">
      <c r="B46" s="69" t="s">
        <v>89</v>
      </c>
      <c r="C46" s="110"/>
      <c r="D46" s="110"/>
      <c r="E46" s="84"/>
      <c r="F46" s="110"/>
      <c r="G46" s="110"/>
      <c r="H46" s="84"/>
    </row>
    <row r="47" spans="1:14" x14ac:dyDescent="0.3">
      <c r="B47" s="77" t="s">
        <v>76</v>
      </c>
      <c r="C47" s="79"/>
      <c r="D47" s="68" t="s">
        <v>37</v>
      </c>
      <c r="E47" s="93" t="s">
        <v>38</v>
      </c>
      <c r="F47" s="110"/>
      <c r="G47" s="68" t="s">
        <v>37</v>
      </c>
      <c r="H47" s="93" t="s">
        <v>38</v>
      </c>
      <c r="J47" s="115" t="s">
        <v>37</v>
      </c>
      <c r="K47" s="149" t="s">
        <v>38</v>
      </c>
      <c r="M47" s="151" t="s">
        <v>37</v>
      </c>
      <c r="N47" s="155" t="s">
        <v>38</v>
      </c>
    </row>
    <row r="48" spans="1:14" x14ac:dyDescent="0.3">
      <c r="B48" s="67" t="s">
        <v>85</v>
      </c>
      <c r="C48" s="79"/>
      <c r="D48" s="110">
        <v>0</v>
      </c>
      <c r="E48" s="84">
        <v>0</v>
      </c>
      <c r="F48" s="110"/>
      <c r="G48" s="110">
        <v>2</v>
      </c>
      <c r="H48" s="84">
        <v>4057.01</v>
      </c>
    </row>
    <row r="49" spans="2:14" x14ac:dyDescent="0.3">
      <c r="B49" s="67" t="s">
        <v>87</v>
      </c>
      <c r="C49" s="79"/>
      <c r="D49" s="110">
        <v>0</v>
      </c>
      <c r="E49" s="84">
        <v>0</v>
      </c>
      <c r="F49" s="110"/>
      <c r="G49" s="110">
        <v>0</v>
      </c>
      <c r="H49" s="84">
        <v>0</v>
      </c>
    </row>
    <row r="50" spans="2:14" x14ac:dyDescent="0.3">
      <c r="B50" s="67" t="s">
        <v>88</v>
      </c>
      <c r="C50" s="79"/>
      <c r="D50" s="110">
        <f>D48-D49</f>
        <v>0</v>
      </c>
      <c r="E50" s="84">
        <f>E48-E49</f>
        <v>0</v>
      </c>
      <c r="F50" s="110"/>
      <c r="G50" s="110">
        <f>G48-G49</f>
        <v>2</v>
      </c>
      <c r="H50" s="84">
        <f>H48-H49</f>
        <v>4057.01</v>
      </c>
    </row>
    <row r="51" spans="2:14" x14ac:dyDescent="0.3">
      <c r="B51" s="77" t="s">
        <v>83</v>
      </c>
      <c r="C51" s="79"/>
      <c r="D51" s="68" t="s">
        <v>37</v>
      </c>
      <c r="E51" s="93" t="s">
        <v>38</v>
      </c>
      <c r="F51" s="110"/>
      <c r="G51" s="68" t="s">
        <v>37</v>
      </c>
      <c r="H51" s="93" t="s">
        <v>38</v>
      </c>
      <c r="J51" s="115" t="s">
        <v>37</v>
      </c>
      <c r="K51" s="149" t="s">
        <v>38</v>
      </c>
      <c r="M51" s="151" t="s">
        <v>37</v>
      </c>
      <c r="N51" s="155" t="s">
        <v>38</v>
      </c>
    </row>
    <row r="52" spans="2:14" x14ac:dyDescent="0.3">
      <c r="B52" s="67" t="s">
        <v>86</v>
      </c>
      <c r="C52" s="79"/>
      <c r="D52" s="110">
        <v>0</v>
      </c>
      <c r="E52" s="84">
        <v>0</v>
      </c>
      <c r="F52" s="110"/>
      <c r="G52" s="110">
        <v>0</v>
      </c>
      <c r="H52" s="84">
        <v>0</v>
      </c>
    </row>
    <row r="53" spans="2:14" x14ac:dyDescent="0.3">
      <c r="B53" s="67" t="s">
        <v>87</v>
      </c>
      <c r="C53" s="79"/>
      <c r="D53" s="110">
        <v>0</v>
      </c>
      <c r="E53" s="84">
        <v>0</v>
      </c>
      <c r="F53" s="110"/>
      <c r="G53" s="110">
        <v>0</v>
      </c>
      <c r="H53" s="84">
        <v>0</v>
      </c>
    </row>
    <row r="54" spans="2:14" x14ac:dyDescent="0.3">
      <c r="B54" s="67" t="s">
        <v>88</v>
      </c>
      <c r="C54" s="79"/>
      <c r="D54" s="110">
        <f>D52-D53</f>
        <v>0</v>
      </c>
      <c r="E54" s="84">
        <f>E52-E53</f>
        <v>0</v>
      </c>
      <c r="F54" s="110"/>
      <c r="G54" s="110">
        <f>G52-G53</f>
        <v>0</v>
      </c>
      <c r="H54" s="84">
        <f>H52-H53</f>
        <v>0</v>
      </c>
    </row>
    <row r="55" spans="2:14" x14ac:dyDescent="0.3">
      <c r="B55" s="77" t="s">
        <v>84</v>
      </c>
      <c r="C55" s="79"/>
      <c r="D55" s="68" t="s">
        <v>37</v>
      </c>
      <c r="E55" s="93" t="s">
        <v>38</v>
      </c>
      <c r="F55" s="110"/>
      <c r="G55" s="68" t="s">
        <v>37</v>
      </c>
      <c r="H55" s="93" t="s">
        <v>38</v>
      </c>
      <c r="J55" s="115" t="s">
        <v>37</v>
      </c>
      <c r="K55" s="149" t="s">
        <v>38</v>
      </c>
      <c r="M55" s="151" t="s">
        <v>37</v>
      </c>
      <c r="N55" s="155" t="s">
        <v>38</v>
      </c>
    </row>
    <row r="56" spans="2:14" x14ac:dyDescent="0.3">
      <c r="B56" s="67" t="s">
        <v>90</v>
      </c>
      <c r="C56" s="79"/>
      <c r="D56" s="110">
        <f>D48+D52</f>
        <v>0</v>
      </c>
      <c r="E56" s="84">
        <f>E48+E52</f>
        <v>0</v>
      </c>
      <c r="F56" s="110"/>
      <c r="G56" s="110">
        <f>G48+G52</f>
        <v>2</v>
      </c>
      <c r="H56" s="84">
        <f>H48+H52</f>
        <v>4057.01</v>
      </c>
    </row>
    <row r="57" spans="2:14" x14ac:dyDescent="0.3">
      <c r="B57" s="67" t="s">
        <v>91</v>
      </c>
      <c r="C57" s="79"/>
      <c r="D57" s="110">
        <f>D49+D53</f>
        <v>0</v>
      </c>
      <c r="E57" s="84">
        <f>E49+E53</f>
        <v>0</v>
      </c>
      <c r="F57" s="110"/>
      <c r="G57" s="110">
        <f>G49+G53</f>
        <v>0</v>
      </c>
      <c r="H57" s="84">
        <f>H49+H53</f>
        <v>0</v>
      </c>
    </row>
    <row r="58" spans="2:14" x14ac:dyDescent="0.3">
      <c r="B58" s="67" t="s">
        <v>92</v>
      </c>
      <c r="C58" s="79"/>
      <c r="D58" s="110">
        <f>D56-D57</f>
        <v>0</v>
      </c>
      <c r="E58" s="84">
        <f>E56-E57</f>
        <v>0</v>
      </c>
      <c r="F58" s="110"/>
      <c r="G58" s="110">
        <f>G56-G57</f>
        <v>2</v>
      </c>
      <c r="H58" s="84">
        <f>H56-H57</f>
        <v>4057.01</v>
      </c>
    </row>
    <row r="59" spans="2:14" x14ac:dyDescent="0.3">
      <c r="B59" s="69" t="s">
        <v>74</v>
      </c>
      <c r="C59" s="79"/>
      <c r="D59" s="79"/>
      <c r="E59" s="101"/>
      <c r="F59" s="110"/>
      <c r="G59" s="110"/>
      <c r="H59" s="84"/>
    </row>
    <row r="60" spans="2:14" x14ac:dyDescent="0.3">
      <c r="B60" s="63" t="s">
        <v>75</v>
      </c>
      <c r="C60" s="79"/>
      <c r="D60" s="79"/>
      <c r="E60" s="101"/>
      <c r="F60" s="110"/>
      <c r="G60" s="110"/>
      <c r="H60" s="84"/>
    </row>
    <row r="61" spans="2:14" ht="28.8" x14ac:dyDescent="0.3">
      <c r="B61" s="63" t="s">
        <v>80</v>
      </c>
      <c r="C61" s="79"/>
      <c r="D61" s="79"/>
      <c r="E61" s="101"/>
      <c r="F61" s="110"/>
      <c r="G61" s="110"/>
      <c r="H61" s="84"/>
    </row>
    <row r="62" spans="2:14" ht="28.8" x14ac:dyDescent="0.3">
      <c r="B62" s="63" t="s">
        <v>81</v>
      </c>
      <c r="C62" s="80"/>
      <c r="D62" s="80"/>
      <c r="E62" s="102"/>
      <c r="F62" s="110"/>
      <c r="G62" s="110"/>
      <c r="H62" s="84"/>
    </row>
    <row r="63" spans="2:14" ht="28.8" x14ac:dyDescent="0.3">
      <c r="B63" s="63" t="s">
        <v>82</v>
      </c>
      <c r="C63" s="80"/>
      <c r="D63" s="80"/>
      <c r="E63" s="102"/>
      <c r="F63" s="110"/>
      <c r="G63" s="110"/>
      <c r="H63" s="84"/>
    </row>
    <row r="67" spans="2:14" x14ac:dyDescent="0.3">
      <c r="B67" s="77" t="s">
        <v>32</v>
      </c>
    </row>
    <row r="68" spans="2:14" x14ac:dyDescent="0.3">
      <c r="B68" s="63" t="s">
        <v>34</v>
      </c>
      <c r="D68" s="63">
        <v>13776</v>
      </c>
      <c r="E68" s="103">
        <v>180327801</v>
      </c>
      <c r="G68" s="105">
        <v>15755</v>
      </c>
      <c r="H68" s="119">
        <v>196074943</v>
      </c>
      <c r="J68" s="105">
        <v>16910</v>
      </c>
      <c r="K68" s="150">
        <v>211330217</v>
      </c>
      <c r="M68" s="116">
        <v>16915</v>
      </c>
      <c r="N68" s="156">
        <v>205715029</v>
      </c>
    </row>
  </sheetData>
  <mergeCells count="4">
    <mergeCell ref="C2:E2"/>
    <mergeCell ref="F2:H2"/>
    <mergeCell ref="I2:K2"/>
    <mergeCell ref="L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Índice</vt:lpstr>
      <vt:lpstr>Vol Tarjetas</vt:lpstr>
      <vt:lpstr>Datos</vt:lpstr>
      <vt:lpstr>Adquirencia</vt:lpstr>
      <vt:lpstr>Datos AC</vt:lpstr>
      <vt:lpstr>MC_CLS</vt:lpstr>
      <vt:lpstr>MC_ORO</vt:lpstr>
      <vt:lpstr>MC_DEB</vt:lpstr>
      <vt:lpstr>MC_PLT</vt:lpstr>
      <vt:lpstr>MC_BLK</vt:lpstr>
    </vt:vector>
  </TitlesOfParts>
  <Company>PWAPVSCCM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GUSTAVO PINTO CHAVEZ</dc:creator>
  <cp:lastModifiedBy>LUIS-LG</cp:lastModifiedBy>
  <dcterms:created xsi:type="dcterms:W3CDTF">2019-04-24T20:20:43Z</dcterms:created>
  <dcterms:modified xsi:type="dcterms:W3CDTF">2020-05-06T03:50:05Z</dcterms:modified>
</cp:coreProperties>
</file>