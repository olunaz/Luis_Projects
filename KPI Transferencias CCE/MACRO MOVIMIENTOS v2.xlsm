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026307\Desktop\MANUEL INOSTROZA\CONTROL\OPERATIVA DIARIA\FRANCO\MOVIMIENTOS\MACRO MOVCON\MACRO MOVCON\"/>
    </mc:Choice>
  </mc:AlternateContent>
  <bookViews>
    <workbookView xWindow="-1470" yWindow="765" windowWidth="20490" windowHeight="7620"/>
  </bookViews>
  <sheets>
    <sheet name="Instrucciones" sheetId="4" r:id="rId1"/>
    <sheet name="Tabla" sheetId="6" r:id="rId2"/>
  </sheets>
  <functionGroups builtInGroupCount="18"/>
  <definedNames>
    <definedName name="_xlnm._FilterDatabase" localSheetId="1" hidden="1">Tabla!$A$4:$K$4</definedName>
  </definedNames>
  <calcPr calcId="162913"/>
</workbook>
</file>

<file path=xl/calcChain.xml><?xml version="1.0" encoding="utf-8"?>
<calcChain xmlns="http://schemas.openxmlformats.org/spreadsheetml/2006/main">
  <c r="V6" i="6" l="1"/>
  <c r="U6" i="6"/>
  <c r="V5" i="6"/>
  <c r="U5" i="6"/>
  <c r="S6" i="6"/>
  <c r="R6" i="6"/>
  <c r="S5" i="6"/>
  <c r="R5" i="6"/>
</calcChain>
</file>

<file path=xl/sharedStrings.xml><?xml version="1.0" encoding="utf-8"?>
<sst xmlns="http://schemas.openxmlformats.org/spreadsheetml/2006/main" count="57" uniqueCount="53">
  <si>
    <t xml:space="preserve">MOVIMIENTOS DE CUENTAS PERSONALES - TABLA </t>
  </si>
  <si>
    <t>DEBE</t>
  </si>
  <si>
    <t>HABER</t>
  </si>
  <si>
    <t>DIA</t>
  </si>
  <si>
    <t>HORA</t>
  </si>
  <si>
    <t>DESCRIPCION</t>
  </si>
  <si>
    <t>IMPORTE</t>
  </si>
  <si>
    <t>PEN</t>
  </si>
  <si>
    <t>USD</t>
  </si>
  <si>
    <t>CTAAPLID</t>
  </si>
  <si>
    <t>CTA CONTABLE</t>
  </si>
  <si>
    <t>DIVISA</t>
  </si>
  <si>
    <t>D/H</t>
  </si>
  <si>
    <t>CTRO ORIGEN</t>
  </si>
  <si>
    <t>CTRO DESTINO</t>
  </si>
  <si>
    <t>USUARIO</t>
  </si>
  <si>
    <t>RESUMEN</t>
  </si>
  <si>
    <t>CENTRO 0923</t>
  </si>
  <si>
    <t>CENTRO 0924</t>
  </si>
  <si>
    <t>DESCRIPCIÓN</t>
  </si>
  <si>
    <t>Esta macro extrae todos los registros de los reportes en Control D llamados</t>
  </si>
  <si>
    <t>MOV CONTA PTE TELEP con centros 0923 y 0924. Luego, consulta los titulares</t>
  </si>
  <si>
    <t>de las cuentas personales que causaron los movimientos del reporte y finalmente</t>
  </si>
  <si>
    <t>hace un consolidado según el registro de las personas que hicieron dichos</t>
  </si>
  <si>
    <t>movimientos para realizar el control de los mismos. Adicionalmente, los movimientos</t>
  </si>
  <si>
    <t>de cuentas CTS son validados en el reporte de Cancelaciones de Everis y crea</t>
  </si>
  <si>
    <t>una muestra con la cual solicitarle sustentos a Everis</t>
  </si>
  <si>
    <t>1. REPORTE MOV CTAS PERS (COPIA EVERIS), que contiene la información de Control D</t>
  </si>
  <si>
    <t>3. MUESTREO MOV CTAS PERS, que contiene la muestra con la que pedir sustentos</t>
  </si>
  <si>
    <t>INSTRUCCIONES</t>
  </si>
  <si>
    <t>Parámetros:</t>
  </si>
  <si>
    <t>Ruta donde desea el archivo 1:</t>
  </si>
  <si>
    <t>Ruta donde desea el archivo 2:</t>
  </si>
  <si>
    <t>Ruta donde desea el archivo 3:</t>
  </si>
  <si>
    <t>Pasos:</t>
  </si>
  <si>
    <t>1. Asegúrese de haber llenado las rutas que desea (de no encontrar una ruta, la macro guardará</t>
  </si>
  <si>
    <t>2. Abra 3270 (pero no entre a ninguna sesión ni transacción).</t>
  </si>
  <si>
    <t>3. Oprima el botón Ejecutar Macro o pulse el atajo Ctrl + W</t>
  </si>
  <si>
    <r>
      <t xml:space="preserve">Al final de la ejecución </t>
    </r>
    <r>
      <rPr>
        <b/>
        <u/>
        <sz val="8"/>
        <color theme="1"/>
        <rFont val="Arial"/>
        <family val="2"/>
      </rPr>
      <t>se generarán 3 archivos</t>
    </r>
    <r>
      <rPr>
        <sz val="8"/>
        <color theme="1"/>
        <rFont val="Arial"/>
        <family val="2"/>
      </rPr>
      <t xml:space="preserve">: </t>
    </r>
  </si>
  <si>
    <t xml:space="preserve">    los archivos generados automáticamente en la carpeta donde se encuentre).</t>
  </si>
  <si>
    <t>Nombre del usuario actual:</t>
  </si>
  <si>
    <t>Ruta de los archivos de cancelaciones:</t>
  </si>
  <si>
    <t xml:space="preserve">2. REPORTE MOV CTAS PERS, que contiene titulares, validación con cancelaciones y </t>
  </si>
  <si>
    <t xml:space="preserve">    totales por registro</t>
  </si>
  <si>
    <t>C:\Users\P026307\Desktop\MANUEL INOSTROZA\CONTROL\OPERATIVA DIARIA\FRANCO\MOVIMIENTOS\MACRO MOVCON\MACRO MOVCON\CANCELACIONES</t>
  </si>
  <si>
    <t>C:\Users\P026307\Desktop\MANUEL INOSTROZA\CONTROL\OPERATIVA DIARIA\FRANCO\MOVIMIENTOS\MACRO MOVCON\MACRO MOVCON\MOVCON COPIAS</t>
  </si>
  <si>
    <t>C:\Users\P026307\Desktop\MANUEL INOSTROZA\CONTROL\OPERATIVA DIARIA\FRANCO\MOVIMIENTOS\MACRO MOVCON\MACRO MOVCON\MOVCON MUESTREOS</t>
  </si>
  <si>
    <t>C:\Users\P026307\Desktop\MANUEL INOSTROZA\CONTROL\OPERATIVA DIARIA\FRANCO\MOVIMIENTOS\MACRO MOVCON\MACRO MOVCON\MOVCON REPORTES</t>
  </si>
  <si>
    <t>Manuel</t>
  </si>
  <si>
    <t>TITULAR</t>
  </si>
  <si>
    <t>TIPO DOI</t>
  </si>
  <si>
    <t>DOI</t>
  </si>
  <si>
    <t>CANCELACIONES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</si>
</sst>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u/>
      <sz val="10"/>
      <color theme="1"/>
      <name val="Arial"/>
      <family val="2"/>
    </font>
    <font>
      <b/>
      <sz val="8"/>
      <color theme="1"/>
      <name val="Arial"/>
      <family val="2"/>
    </font>
    <font>
      <b/>
      <u/>
      <sz val="8"/>
      <color theme="1"/>
      <name val="Arial"/>
      <family val="2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1681F6"/>
        <bgColor indexed="64"/>
      </patternFill>
    </fill>
    <fill>
      <patternFill patternType="solid">
        <fgColor rgb="FF00B0EE"/>
        <bgColor indexed="64"/>
      </patternFill>
    </fill>
    <fill>
      <patternFill patternType="solid">
        <fgColor rgb="FF3BBE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49" fontId="1" fillId="0" borderId="0" xfId="0" applyNumberFormat="1" applyFont="1"/>
    <xf numFmtId="4" fontId="1" fillId="0" borderId="0" xfId="0" applyNumberFormat="1" applyFont="1"/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4" fontId="2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2" fillId="2" borderId="1" xfId="0" quotePrefix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4" fontId="2" fillId="0" borderId="1" xfId="0" applyNumberFormat="1" applyFont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49" fontId="2" fillId="0" borderId="0" xfId="0" applyNumberFormat="1" applyFont="1" applyAlignment="1">
      <alignment horizontal="center"/>
    </xf>
    <xf numFmtId="49" fontId="2" fillId="0" borderId="3" xfId="0" applyNumberFormat="1" applyFont="1" applyFill="1" applyBorder="1" applyAlignment="1">
      <alignment horizontal="center" vertical="center" wrapText="1"/>
    </xf>
    <xf numFmtId="0" fontId="1" fillId="3" borderId="0" xfId="0" applyFont="1" applyFill="1" applyProtection="1"/>
    <xf numFmtId="0" fontId="1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1" fillId="4" borderId="0" xfId="0" applyFont="1" applyFill="1" applyProtection="1"/>
    <xf numFmtId="0" fontId="1" fillId="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 vertical="center"/>
    </xf>
    <xf numFmtId="0" fontId="1" fillId="5" borderId="0" xfId="0" applyFont="1" applyFill="1" applyProtection="1"/>
    <xf numFmtId="0" fontId="1" fillId="5" borderId="0" xfId="0" applyFont="1" applyFill="1" applyAlignment="1" applyProtection="1">
      <alignment horizontal="center"/>
    </xf>
    <xf numFmtId="0" fontId="1" fillId="5" borderId="0" xfId="0" applyFont="1" applyFill="1" applyAlignment="1" applyProtection="1">
      <alignment horizontal="center" vertical="center"/>
    </xf>
    <xf numFmtId="0" fontId="1" fillId="6" borderId="0" xfId="0" applyFont="1" applyFill="1" applyProtection="1"/>
    <xf numFmtId="0" fontId="1" fillId="6" borderId="0" xfId="0" applyFont="1" applyFill="1" applyAlignment="1" applyProtection="1">
      <alignment horizontal="center"/>
    </xf>
    <xf numFmtId="0" fontId="1" fillId="6" borderId="0" xfId="0" applyFont="1" applyFill="1" applyAlignment="1" applyProtection="1">
      <alignment horizontal="center" vertical="center"/>
    </xf>
    <xf numFmtId="0" fontId="1" fillId="7" borderId="0" xfId="0" applyFont="1" applyFill="1" applyProtection="1"/>
    <xf numFmtId="0" fontId="1" fillId="7" borderId="0" xfId="0" applyFont="1" applyFill="1" applyAlignment="1" applyProtection="1">
      <alignment horizontal="center"/>
    </xf>
    <xf numFmtId="0" fontId="1" fillId="7" borderId="0" xfId="0" applyFont="1" applyFill="1" applyAlignment="1" applyProtection="1">
      <alignment horizontal="center" vertical="center"/>
    </xf>
    <xf numFmtId="0" fontId="1" fillId="8" borderId="0" xfId="0" applyFont="1" applyFill="1" applyProtection="1"/>
    <xf numFmtId="0" fontId="1" fillId="8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 vertic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1" xfId="0" applyFont="1" applyBorder="1" applyAlignment="1" applyProtection="1">
      <protection locked="0"/>
    </xf>
    <xf numFmtId="0" fontId="2" fillId="0" borderId="0" xfId="0" applyFont="1" applyAlignment="1">
      <alignment horizontal="center"/>
    </xf>
    <xf numFmtId="49" fontId="2" fillId="2" borderId="4" xfId="0" applyNumberFormat="1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right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94740</xdr:colOff>
      <xdr:row>0</xdr:row>
      <xdr:rowOff>0</xdr:rowOff>
    </xdr:from>
    <xdr:to>
      <xdr:col>10</xdr:col>
      <xdr:colOff>1482587</xdr:colOff>
      <xdr:row>6</xdr:row>
      <xdr:rowOff>66261</xdr:rowOff>
    </xdr:to>
    <xdr:grpSp>
      <xdr:nvGrpSpPr>
        <xdr:cNvPr id="5" name="Grupo 4"/>
        <xdr:cNvGrpSpPr/>
      </xdr:nvGrpSpPr>
      <xdr:grpSpPr>
        <a:xfrm>
          <a:off x="94740" y="0"/>
          <a:ext cx="7848282" cy="811696"/>
          <a:chOff x="177566" y="0"/>
          <a:chExt cx="8533560" cy="811696"/>
        </a:xfrm>
      </xdr:grpSpPr>
      <xdr:pic>
        <xdr:nvPicPr>
          <xdr:cNvPr id="2" name="Imagen 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16329"/>
          <a:stretch/>
        </xdr:blipFill>
        <xdr:spPr>
          <a:xfrm>
            <a:off x="177566" y="0"/>
            <a:ext cx="6550828" cy="811696"/>
          </a:xfrm>
          <a:prstGeom prst="rect">
            <a:avLst/>
          </a:prstGeom>
        </xdr:spPr>
      </xdr:pic>
      <xdr:pic>
        <xdr:nvPicPr>
          <xdr:cNvPr id="4" name="Imagen 3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41488" r="16329"/>
          <a:stretch/>
        </xdr:blipFill>
        <xdr:spPr>
          <a:xfrm>
            <a:off x="5408542" y="0"/>
            <a:ext cx="3302584" cy="81169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170791</xdr:colOff>
      <xdr:row>3</xdr:row>
      <xdr:rowOff>73653</xdr:rowOff>
    </xdr:from>
    <xdr:to>
      <xdr:col>11</xdr:col>
      <xdr:colOff>306457</xdr:colOff>
      <xdr:row>6</xdr:row>
      <xdr:rowOff>33130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>
          <a:spLocks noChangeAspect="1"/>
        </xdr:cNvSpPr>
      </xdr:nvSpPr>
      <xdr:spPr>
        <a:xfrm>
          <a:off x="170791" y="446370"/>
          <a:ext cx="7730818" cy="3321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PE" sz="16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EQUIPO PASIVOS - Control de </a:t>
          </a:r>
          <a:r>
            <a:rPr lang="es-PE" sz="16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Movimientos Manuales </a:t>
          </a:r>
          <a:r>
            <a:rPr lang="es-PE" sz="1600" baseline="0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de Cuentas Personales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20</xdr:row>
          <xdr:rowOff>104775</xdr:rowOff>
        </xdr:from>
        <xdr:to>
          <xdr:col>10</xdr:col>
          <xdr:colOff>2152650</xdr:colOff>
          <xdr:row>23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CX22"/>
  <sheetViews>
    <sheetView showGridLines="0" tabSelected="1" topLeftCell="D1" zoomScale="115" zoomScaleNormal="115" workbookViewId="0">
      <selection activeCell="K12" sqref="K12"/>
    </sheetView>
  </sheetViews>
  <sheetFormatPr baseColWidth="10" defaultRowHeight="12.75" x14ac:dyDescent="0.2"/>
  <cols>
    <col min="1" max="1" width="2.85546875" style="1" customWidth="1"/>
    <col min="2" max="2" width="16.140625" style="1" customWidth="1"/>
    <col min="3" max="6" width="11.42578125" style="1"/>
    <col min="7" max="7" width="1.5703125" style="1" customWidth="1"/>
    <col min="8" max="8" width="2.28515625" style="1" customWidth="1"/>
    <col min="9" max="9" width="16.85546875" style="1" customWidth="1"/>
    <col min="10" max="10" width="11.42578125" style="1"/>
    <col min="11" max="11" width="65" style="1" customWidth="1"/>
    <col min="12" max="14" width="15.7109375" style="1" customWidth="1"/>
    <col min="15" max="16384" width="11.42578125" style="1"/>
  </cols>
  <sheetData>
    <row r="1" spans="1:102" ht="9.75" customHeight="1" x14ac:dyDescent="0.2">
      <c r="A1" s="16"/>
      <c r="B1" s="16"/>
      <c r="C1" s="16"/>
      <c r="D1" s="16"/>
      <c r="E1" s="16"/>
      <c r="F1" s="16"/>
      <c r="G1" s="16"/>
      <c r="H1" s="16"/>
      <c r="I1" s="17"/>
      <c r="J1" s="16"/>
      <c r="K1" s="18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</row>
    <row r="2" spans="1:102" ht="9.75" customHeight="1" x14ac:dyDescent="0.2">
      <c r="A2" s="19"/>
      <c r="B2" s="19"/>
      <c r="C2" s="19"/>
      <c r="D2" s="19"/>
      <c r="E2" s="19"/>
      <c r="F2" s="19"/>
      <c r="G2" s="19"/>
      <c r="H2" s="19"/>
      <c r="I2" s="20"/>
      <c r="J2" s="19"/>
      <c r="K2" s="21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</row>
    <row r="3" spans="1:102" ht="9.75" customHeight="1" x14ac:dyDescent="0.2">
      <c r="A3" s="22"/>
      <c r="B3" s="22"/>
      <c r="C3" s="22"/>
      <c r="D3" s="22"/>
      <c r="E3" s="22"/>
      <c r="F3" s="22"/>
      <c r="G3" s="22"/>
      <c r="H3" s="22"/>
      <c r="I3" s="23"/>
      <c r="J3" s="22"/>
      <c r="K3" s="24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</row>
    <row r="4" spans="1:102" ht="9.75" customHeight="1" x14ac:dyDescent="0.2">
      <c r="A4" s="25"/>
      <c r="B4" s="25"/>
      <c r="C4" s="25"/>
      <c r="D4" s="25"/>
      <c r="E4" s="25"/>
      <c r="F4" s="25"/>
      <c r="G4" s="25"/>
      <c r="H4" s="25"/>
      <c r="I4" s="26"/>
      <c r="J4" s="25"/>
      <c r="K4" s="27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25"/>
      <c r="BU4" s="25"/>
      <c r="BV4" s="25"/>
      <c r="BW4" s="25"/>
      <c r="BX4" s="25"/>
      <c r="BY4" s="25"/>
      <c r="BZ4" s="25"/>
      <c r="CA4" s="25"/>
      <c r="CB4" s="25"/>
      <c r="CC4" s="25"/>
      <c r="CD4" s="25"/>
      <c r="CE4" s="25"/>
      <c r="CF4" s="25"/>
      <c r="CG4" s="25"/>
      <c r="CH4" s="25"/>
      <c r="CI4" s="25"/>
      <c r="CJ4" s="25"/>
      <c r="CK4" s="25"/>
      <c r="CL4" s="25"/>
      <c r="CM4" s="25"/>
      <c r="CN4" s="25"/>
      <c r="CO4" s="25"/>
      <c r="CP4" s="25"/>
      <c r="CQ4" s="25"/>
      <c r="CR4" s="25"/>
      <c r="CS4" s="25"/>
      <c r="CT4" s="25"/>
      <c r="CU4" s="25"/>
      <c r="CV4" s="25"/>
      <c r="CW4" s="25"/>
      <c r="CX4" s="25"/>
    </row>
    <row r="5" spans="1:102" ht="9.75" customHeight="1" x14ac:dyDescent="0.2">
      <c r="A5" s="28"/>
      <c r="B5" s="28"/>
      <c r="C5" s="28"/>
      <c r="D5" s="28"/>
      <c r="E5" s="28"/>
      <c r="F5" s="28"/>
      <c r="G5" s="28"/>
      <c r="H5" s="28"/>
      <c r="I5" s="29"/>
      <c r="J5" s="28"/>
      <c r="K5" s="30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  <c r="BN5" s="28"/>
      <c r="BO5" s="28"/>
      <c r="BP5" s="28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  <c r="CH5" s="28"/>
      <c r="CI5" s="28"/>
      <c r="CJ5" s="28"/>
      <c r="CK5" s="28"/>
      <c r="CL5" s="28"/>
      <c r="CM5" s="28"/>
      <c r="CN5" s="28"/>
      <c r="CO5" s="28"/>
      <c r="CP5" s="28"/>
      <c r="CQ5" s="28"/>
      <c r="CR5" s="28"/>
      <c r="CS5" s="28"/>
      <c r="CT5" s="28"/>
      <c r="CU5" s="28"/>
      <c r="CV5" s="28"/>
      <c r="CW5" s="28"/>
      <c r="CX5" s="28"/>
    </row>
    <row r="6" spans="1:102" ht="9.75" customHeight="1" x14ac:dyDescent="0.2">
      <c r="A6" s="31"/>
      <c r="B6" s="31"/>
      <c r="C6" s="31"/>
      <c r="D6" s="31"/>
      <c r="E6" s="31"/>
      <c r="F6" s="31"/>
      <c r="G6" s="31"/>
      <c r="H6" s="31"/>
      <c r="I6" s="32"/>
      <c r="J6" s="31"/>
      <c r="K6" s="33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</row>
    <row r="8" spans="1:102" x14ac:dyDescent="0.2">
      <c r="B8" s="35" t="s">
        <v>19</v>
      </c>
      <c r="I8" s="35" t="s">
        <v>29</v>
      </c>
    </row>
    <row r="9" spans="1:102" s="34" customFormat="1" ht="11.25" customHeight="1" x14ac:dyDescent="0.2">
      <c r="B9" s="34" t="s">
        <v>20</v>
      </c>
      <c r="I9" s="36" t="s">
        <v>30</v>
      </c>
      <c r="J9" s="1"/>
      <c r="K9" s="1"/>
      <c r="L9" s="1"/>
      <c r="M9" s="1"/>
      <c r="N9" s="1"/>
    </row>
    <row r="10" spans="1:102" s="34" customFormat="1" ht="11.25" customHeight="1" x14ac:dyDescent="0.2">
      <c r="B10" s="34" t="s">
        <v>21</v>
      </c>
      <c r="I10" s="40" t="s">
        <v>40</v>
      </c>
      <c r="J10" s="40"/>
      <c r="K10" s="37" t="s">
        <v>48</v>
      </c>
    </row>
    <row r="11" spans="1:102" s="34" customFormat="1" ht="11.25" customHeight="1" x14ac:dyDescent="0.2">
      <c r="B11" s="34" t="s">
        <v>22</v>
      </c>
      <c r="I11" s="40" t="s">
        <v>41</v>
      </c>
      <c r="J11" s="40"/>
      <c r="K11" s="37" t="s">
        <v>44</v>
      </c>
    </row>
    <row r="12" spans="1:102" s="34" customFormat="1" ht="11.25" customHeight="1" x14ac:dyDescent="0.2">
      <c r="B12" s="34" t="s">
        <v>23</v>
      </c>
      <c r="I12" s="40" t="s">
        <v>31</v>
      </c>
      <c r="J12" s="40"/>
      <c r="K12" s="37" t="s">
        <v>45</v>
      </c>
    </row>
    <row r="13" spans="1:102" s="34" customFormat="1" ht="11.25" customHeight="1" x14ac:dyDescent="0.2">
      <c r="B13" s="34" t="s">
        <v>24</v>
      </c>
      <c r="I13" s="40" t="s">
        <v>32</v>
      </c>
      <c r="J13" s="40"/>
      <c r="K13" s="37" t="s">
        <v>47</v>
      </c>
    </row>
    <row r="14" spans="1:102" s="34" customFormat="1" ht="11.25" customHeight="1" x14ac:dyDescent="0.2">
      <c r="B14" s="34" t="s">
        <v>25</v>
      </c>
      <c r="I14" s="40" t="s">
        <v>33</v>
      </c>
      <c r="J14" s="40"/>
      <c r="K14" s="37" t="s">
        <v>46</v>
      </c>
    </row>
    <row r="15" spans="1:102" s="34" customFormat="1" ht="11.25" customHeight="1" x14ac:dyDescent="0.2">
      <c r="B15" s="34" t="s">
        <v>26</v>
      </c>
    </row>
    <row r="16" spans="1:102" s="34" customFormat="1" ht="11.25" customHeight="1" x14ac:dyDescent="0.2">
      <c r="I16" s="36" t="s">
        <v>34</v>
      </c>
    </row>
    <row r="17" spans="2:14" s="34" customFormat="1" ht="11.25" customHeight="1" x14ac:dyDescent="0.2">
      <c r="B17" s="34" t="s">
        <v>38</v>
      </c>
      <c r="I17" s="34" t="s">
        <v>35</v>
      </c>
    </row>
    <row r="18" spans="2:14" s="34" customFormat="1" ht="11.25" customHeight="1" x14ac:dyDescent="0.2">
      <c r="B18" s="34" t="s">
        <v>27</v>
      </c>
      <c r="I18" s="34" t="s">
        <v>39</v>
      </c>
    </row>
    <row r="19" spans="2:14" s="34" customFormat="1" ht="11.25" customHeight="1" x14ac:dyDescent="0.2">
      <c r="B19" s="34" t="s">
        <v>42</v>
      </c>
      <c r="I19" s="34" t="s">
        <v>36</v>
      </c>
    </row>
    <row r="20" spans="2:14" s="34" customFormat="1" ht="11.25" customHeight="1" x14ac:dyDescent="0.2">
      <c r="B20" s="34" t="s">
        <v>43</v>
      </c>
      <c r="I20" s="34" t="s">
        <v>37</v>
      </c>
    </row>
    <row r="21" spans="2:14" x14ac:dyDescent="0.2">
      <c r="B21" s="34" t="s">
        <v>28</v>
      </c>
      <c r="I21" s="34"/>
      <c r="J21" s="34"/>
      <c r="K21" s="34"/>
      <c r="L21" s="34"/>
      <c r="M21" s="34"/>
      <c r="N21" s="34"/>
    </row>
    <row r="22" spans="2:14" x14ac:dyDescent="0.2">
      <c r="I22" s="34"/>
      <c r="J22" s="34"/>
      <c r="K22" s="34"/>
      <c r="L22" s="34"/>
      <c r="M22" s="34"/>
      <c r="N22" s="34"/>
    </row>
  </sheetData>
  <sheetProtection sheet="1" objects="1" scenarios="1" selectLockedCells="1"/>
  <protectedRanges>
    <protectedRange sqref="K10:K14" name="Rutas"/>
  </protectedRanges>
  <mergeCells count="5">
    <mergeCell ref="I10:J10"/>
    <mergeCell ref="I12:J12"/>
    <mergeCell ref="I14:J14"/>
    <mergeCell ref="I13:J13"/>
    <mergeCell ref="I11:J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incipal">
                <anchor moveWithCells="1" sizeWithCells="1">
                  <from>
                    <xdr:col>9</xdr:col>
                    <xdr:colOff>533400</xdr:colOff>
                    <xdr:row>20</xdr:row>
                    <xdr:rowOff>104775</xdr:rowOff>
                  </from>
                  <to>
                    <xdr:col>10</xdr:col>
                    <xdr:colOff>2152650</xdr:colOff>
                    <xdr:row>23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V6"/>
  <sheetViews>
    <sheetView showGridLines="0" zoomScale="85" zoomScaleNormal="85" workbookViewId="0">
      <selection activeCell="A2" sqref="A2:K2"/>
    </sheetView>
  </sheetViews>
  <sheetFormatPr baseColWidth="10" defaultRowHeight="12.75" x14ac:dyDescent="0.2"/>
  <cols>
    <col min="1" max="1" width="6" style="2" bestFit="1" customWidth="1"/>
    <col min="2" max="2" width="14.85546875" style="1" bestFit="1" customWidth="1"/>
    <col min="3" max="3" width="19.140625" style="1" bestFit="1" customWidth="1"/>
    <col min="4" max="4" width="20" style="2" bestFit="1" customWidth="1"/>
    <col min="5" max="5" width="19.28515625" style="2" bestFit="1" customWidth="1"/>
    <col min="6" max="6" width="9.140625" style="1" customWidth="1"/>
    <col min="7" max="7" width="6.140625" style="1" customWidth="1"/>
    <col min="8" max="8" width="12.140625" style="3" bestFit="1" customWidth="1"/>
    <col min="9" max="9" width="11.5703125" style="1" bestFit="1" customWidth="1"/>
    <col min="10" max="10" width="10.28515625" style="2" bestFit="1" customWidth="1"/>
    <col min="11" max="11" width="11.5703125" style="2" bestFit="1" customWidth="1"/>
    <col min="12" max="15" width="11.5703125" style="2" customWidth="1"/>
    <col min="16" max="16" width="12.28515625" style="2" customWidth="1"/>
    <col min="17" max="17" width="7.28515625" style="1" bestFit="1" customWidth="1"/>
    <col min="18" max="19" width="13.42578125" style="1" customWidth="1"/>
    <col min="20" max="20" width="7.28515625" style="1" bestFit="1" customWidth="1"/>
    <col min="21" max="22" width="13.42578125" style="1" customWidth="1"/>
    <col min="23" max="16384" width="11.42578125" style="1"/>
  </cols>
  <sheetData>
    <row r="2" spans="1:22" x14ac:dyDescent="0.2">
      <c r="A2" s="41" t="s">
        <v>0</v>
      </c>
      <c r="B2" s="41"/>
      <c r="C2" s="41"/>
      <c r="D2" s="41"/>
      <c r="E2" s="41"/>
      <c r="F2" s="41"/>
      <c r="G2" s="41"/>
      <c r="H2" s="41"/>
      <c r="I2" s="41"/>
      <c r="J2" s="41"/>
      <c r="K2" s="41"/>
      <c r="L2" s="14"/>
      <c r="M2" s="14"/>
      <c r="N2" s="14"/>
      <c r="O2" s="38"/>
      <c r="P2" s="14"/>
    </row>
    <row r="3" spans="1:22" x14ac:dyDescent="0.2">
      <c r="Q3" s="42" t="s">
        <v>16</v>
      </c>
      <c r="R3" s="42"/>
      <c r="S3" s="42"/>
      <c r="T3" s="42"/>
      <c r="U3" s="42"/>
      <c r="V3" s="42"/>
    </row>
    <row r="4" spans="1:22" s="7" customFormat="1" ht="25.5" x14ac:dyDescent="0.25">
      <c r="A4" s="4" t="s">
        <v>3</v>
      </c>
      <c r="B4" s="5" t="s">
        <v>4</v>
      </c>
      <c r="C4" s="5" t="s">
        <v>5</v>
      </c>
      <c r="D4" s="4" t="s">
        <v>9</v>
      </c>
      <c r="E4" s="4" t="s">
        <v>10</v>
      </c>
      <c r="F4" s="5" t="s">
        <v>11</v>
      </c>
      <c r="G4" s="5" t="s">
        <v>12</v>
      </c>
      <c r="H4" s="6" t="s">
        <v>6</v>
      </c>
      <c r="I4" s="5" t="s">
        <v>15</v>
      </c>
      <c r="J4" s="12" t="s">
        <v>13</v>
      </c>
      <c r="K4" s="4" t="s">
        <v>14</v>
      </c>
      <c r="L4" s="39" t="s">
        <v>49</v>
      </c>
      <c r="M4" s="4" t="s">
        <v>50</v>
      </c>
      <c r="N4" s="4" t="s">
        <v>51</v>
      </c>
      <c r="O4" s="4" t="s">
        <v>52</v>
      </c>
      <c r="P4" s="15"/>
      <c r="Q4" s="13" t="s">
        <v>7</v>
      </c>
      <c r="R4" s="8" t="s">
        <v>17</v>
      </c>
      <c r="S4" s="8" t="s">
        <v>18</v>
      </c>
      <c r="T4" s="5" t="s">
        <v>8</v>
      </c>
      <c r="U4" s="8" t="s">
        <v>17</v>
      </c>
      <c r="V4" s="8" t="s">
        <v>18</v>
      </c>
    </row>
    <row r="5" spans="1:22" x14ac:dyDescent="0.2">
      <c r="Q5" s="9" t="s">
        <v>1</v>
      </c>
      <c r="R5" s="10">
        <f>+SUMIFS($H:$H,$F:$F,$Q$4,$J:$J,RIGHT(R$4,4),$G:$G,LEFT($Q5))</f>
        <v>0</v>
      </c>
      <c r="S5" s="10">
        <f>+SUMIFS($H:$H,$F:$F,$Q$4,$J:$J,RIGHT(S$4,4),$G:$G,LEFT($Q5))</f>
        <v>0</v>
      </c>
      <c r="T5" s="11" t="s">
        <v>1</v>
      </c>
      <c r="U5" s="10">
        <f>+SUMIFS($H:$H,$F:$F,$T$4,$J:$J,RIGHT(U$4,4),$G:$G,LEFT($Q5))</f>
        <v>0</v>
      </c>
      <c r="V5" s="10">
        <f>+SUMIFS($H:$H,$F:$F,$T$4,$J:$J,RIGHT(V$4,4),$G:$G,LEFT($Q5))</f>
        <v>0</v>
      </c>
    </row>
    <row r="6" spans="1:22" x14ac:dyDescent="0.2">
      <c r="Q6" s="9" t="s">
        <v>2</v>
      </c>
      <c r="R6" s="10">
        <f>+SUMIFS($H:$H,$F:$F,$Q$4,$J:$J,RIGHT(R$4,4),$G:$G,LEFT($Q6))</f>
        <v>0</v>
      </c>
      <c r="S6" s="10">
        <f>+SUMIFS($H:$H,$F:$F,$Q$4,$J:$J,RIGHT(S$4,4),$G:$G,LEFT($Q6))</f>
        <v>0</v>
      </c>
      <c r="T6" s="11" t="s">
        <v>2</v>
      </c>
      <c r="U6" s="10">
        <f>+SUMIFS($H:$H,$F:$F,$T$4,$J:$J,RIGHT(U$4,4),$G:$G,LEFT($Q6))</f>
        <v>0</v>
      </c>
      <c r="V6" s="10">
        <f>+SUMIFS($H:$H,$F:$F,$T$4,$J:$J,RIGHT(V$4,4),$G:$G,LEFT($Q6))</f>
        <v>0</v>
      </c>
    </row>
  </sheetData>
  <mergeCells count="2">
    <mergeCell ref="A2:K2"/>
    <mergeCell ref="Q3:V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Instrucciones</vt:lpstr>
      <vt:lpstr>Tabla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P024853</dc:creator>
  <cp:lastModifiedBy>MANUEL JESUS INOSTROZA LLANCO</cp:lastModifiedBy>
  <dcterms:created xsi:type="dcterms:W3CDTF">2017-06-06T16:53:23Z</dcterms:created>
  <dcterms:modified xsi:type="dcterms:W3CDTF">2019-12-06T14:18:28Z</dcterms:modified>
</cp:coreProperties>
</file>