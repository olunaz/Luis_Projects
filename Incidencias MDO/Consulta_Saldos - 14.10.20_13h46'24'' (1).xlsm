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20288\Desktop\AHK\Consulta_saldos\Reporte\"/>
    </mc:Choice>
  </mc:AlternateContent>
  <bookViews>
    <workbookView minimized="1" xWindow="0" yWindow="0" windowWidth="22260" windowHeight="12645" firstSheet="3" activeTab="3"/>
  </bookViews>
  <sheets>
    <sheet name="REPORTE" sheetId="2" state="hidden" r:id="rId1"/>
    <sheet name="SN-EX" sheetId="3" r:id="rId2"/>
    <sheet name="EXCEDIDO" sheetId="6" state="hidden" r:id="rId3"/>
    <sheet name="PREVENTIVA" sheetId="7" r:id="rId4"/>
    <sheet name="RRHH" sheetId="1" r:id="rId5"/>
  </sheets>
  <functionGroups builtInGroupCount="18"/>
  <definedNames>
    <definedName name="_xlnm._FilterDatabase" localSheetId="4" hidden="1">RRHH!$E$1:$E$355</definedName>
    <definedName name="RRHH">RRHH!$1:$1048576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2" i="1"/>
</calcChain>
</file>

<file path=xl/sharedStrings.xml><?xml version="1.0" encoding="utf-8"?>
<sst xmlns="http://schemas.openxmlformats.org/spreadsheetml/2006/main" count="6271" uniqueCount="1964">
  <si>
    <t>Centro coste</t>
  </si>
  <si>
    <t>CC PEOPLE SOFT</t>
  </si>
  <si>
    <t>Unidad</t>
  </si>
  <si>
    <t>Banca</t>
  </si>
  <si>
    <t>CodPuesto</t>
  </si>
  <si>
    <t>Puesto</t>
  </si>
  <si>
    <t>Area</t>
  </si>
  <si>
    <t>Registro</t>
  </si>
  <si>
    <t>Nombre y apellidos</t>
  </si>
  <si>
    <t>Dirección Electronica</t>
  </si>
  <si>
    <t>Correo_CC</t>
  </si>
  <si>
    <t>CORREO_GENERAL</t>
  </si>
  <si>
    <t>ADMINISTRATION</t>
  </si>
  <si>
    <t>CHIEF OPERATING OFFICER</t>
  </si>
  <si>
    <t>Banca Institucional</t>
  </si>
  <si>
    <t>X72</t>
  </si>
  <si>
    <t>GERENTE ADMINISTRATION</t>
  </si>
  <si>
    <t>Corporate &amp; Investment Banking Perú</t>
  </si>
  <si>
    <t>P003394</t>
  </si>
  <si>
    <t>GINA ELIANA JALSOVEC OVIEDO</t>
  </si>
  <si>
    <t>GEGUILUZ@BBVA.COM</t>
  </si>
  <si>
    <t>ADM. GERENCIA TERRITORIAL NORTE</t>
  </si>
  <si>
    <t>GERENCIA TERRITORIAL NORTE</t>
  </si>
  <si>
    <t>Minorista</t>
  </si>
  <si>
    <t>B41</t>
  </si>
  <si>
    <t>SUB GERENTE DE OFICINA</t>
  </si>
  <si>
    <t>Banca Minorista</t>
  </si>
  <si>
    <t>P003679</t>
  </si>
  <si>
    <t>LORENZO MERCEDES CAMPOS SANCHEZ</t>
  </si>
  <si>
    <t>LCAMPOS@BBVA.COM</t>
  </si>
  <si>
    <t>BE La Molina</t>
  </si>
  <si>
    <t>GERENCIA REGIONAL BE 2</t>
  </si>
  <si>
    <t>Regional 2</t>
  </si>
  <si>
    <t>E04</t>
  </si>
  <si>
    <t>SUB GERENTE BE</t>
  </si>
  <si>
    <t>Banca Empresa y Corporativa</t>
  </si>
  <si>
    <t>P003917</t>
  </si>
  <si>
    <t>MAURICIO ALBERTO SEMINARIO REAÑO</t>
  </si>
  <si>
    <t>MSEMINARIO@BBVA.COM</t>
  </si>
  <si>
    <t>Oficina San Camilo</t>
  </si>
  <si>
    <t>GERENCIA TERRITORIAL SUR</t>
  </si>
  <si>
    <t>Sur</t>
  </si>
  <si>
    <t>P003965</t>
  </si>
  <si>
    <t>JEANNETTE GRACIELA RODRIGUEZ CHAVEZ</t>
  </si>
  <si>
    <t>JGRODRIGUEZ@BBVA.COM</t>
  </si>
  <si>
    <t>Oficina Bellavista</t>
  </si>
  <si>
    <t>GERENCIA TERRITORIAL CALLAO SAN MIGUEL</t>
  </si>
  <si>
    <t>Callao San Miguel</t>
  </si>
  <si>
    <t>P004073</t>
  </si>
  <si>
    <t>CARLOS ALBERTO ARIAS DONAYRE</t>
  </si>
  <si>
    <t>CARIAS@BBVA.COM</t>
  </si>
  <si>
    <t>ADM. GERENCIA TERRITORIAL CALLAO SAN MIGUEL</t>
  </si>
  <si>
    <t>CH1</t>
  </si>
  <si>
    <t>GERENTE TERRITORIAL</t>
  </si>
  <si>
    <t>P004158</t>
  </si>
  <si>
    <t>GABRIELA DE FATIMA ALVARADO LACA</t>
  </si>
  <si>
    <t>GALVARADOL@BBVA.COM</t>
  </si>
  <si>
    <t>M25</t>
  </si>
  <si>
    <t>RECURSOS HUMANOS 2</t>
  </si>
  <si>
    <t>CENTRO DE CAPACITACION</t>
  </si>
  <si>
    <t>Talento &amp; Cultura</t>
  </si>
  <si>
    <t>Otros rubros</t>
  </si>
  <si>
    <t>P004238</t>
  </si>
  <si>
    <t>MAXIMO RICARDO RAMIREZ TRUCIOS</t>
  </si>
  <si>
    <t>MRAMIREZ@BBVA.COM</t>
  </si>
  <si>
    <t>Oficina El Puerto</t>
  </si>
  <si>
    <t>P004322</t>
  </si>
  <si>
    <t>JOSE MARIA LOPEZ BENAVIDES</t>
  </si>
  <si>
    <t>JMLOPEZ@BBVA.COM</t>
  </si>
  <si>
    <t>Oficina Gamarra</t>
  </si>
  <si>
    <t>GERENCIA TERRITORIAL LIMA CENTRO</t>
  </si>
  <si>
    <t>Lima Centro</t>
  </si>
  <si>
    <t>P004356</t>
  </si>
  <si>
    <t>CARLOS ALBERTO VERASTEGUI CASTILLO</t>
  </si>
  <si>
    <t>cristhian.tineo@bbva.com</t>
  </si>
  <si>
    <t>Oficina La Colmena</t>
  </si>
  <si>
    <t>P004464</t>
  </si>
  <si>
    <t>FARA BRENDA TREMOLADA KOHLER</t>
  </si>
  <si>
    <t>FTREMOLADA@BBVA.COM</t>
  </si>
  <si>
    <t>BE Lima Norte</t>
  </si>
  <si>
    <t>GERENCIA REGIONAL BE 1</t>
  </si>
  <si>
    <t>Regional 1</t>
  </si>
  <si>
    <t>P004494</t>
  </si>
  <si>
    <t>ANTONIO SALOMON OTINIANO GALDO</t>
  </si>
  <si>
    <t>AOTINIANO@BBVA.COM</t>
  </si>
  <si>
    <t>BE República de Panamá</t>
  </si>
  <si>
    <t>P004498</t>
  </si>
  <si>
    <t>CECILIA ESTHER SOLIS CANTURIN</t>
  </si>
  <si>
    <t>CESOLIS@BBVA.COM</t>
  </si>
  <si>
    <t>BE Miraflores</t>
  </si>
  <si>
    <t>P004527</t>
  </si>
  <si>
    <t>CARLOS ENRIQUE GALARRETA ADRIANO</t>
  </si>
  <si>
    <t>CGALARRETA@BBVA.COM</t>
  </si>
  <si>
    <t>Oficina Los Robles</t>
  </si>
  <si>
    <t>GERENCIA TERRITORIAL LIMA RESIDENCIAL</t>
  </si>
  <si>
    <t>Lima Residencial</t>
  </si>
  <si>
    <t>P004775</t>
  </si>
  <si>
    <t>YLIANA CARMEN PURICHINI PERBULI</t>
  </si>
  <si>
    <t>YPURICHINI@BBVA.COM</t>
  </si>
  <si>
    <t>Oficina Limatambo</t>
  </si>
  <si>
    <t>P004828</t>
  </si>
  <si>
    <t>LUIS FERNANDO CHIRINOS RAMIREZ</t>
  </si>
  <si>
    <t>FCHIRINOS@BBVA.COM</t>
  </si>
  <si>
    <t>Oficina El Pino</t>
  </si>
  <si>
    <t>P004830</t>
  </si>
  <si>
    <t>MAGALI GLIZETE MORAL DEL SOLAR</t>
  </si>
  <si>
    <t>MMORAL@BBVA.COM</t>
  </si>
  <si>
    <t>Oficina Yanahuara</t>
  </si>
  <si>
    <t>P004839</t>
  </si>
  <si>
    <t>LUIS ANTONIO RODRIGUEZ CHAVEZ</t>
  </si>
  <si>
    <t>LUISANTONIO.RODRIGUEZ@BBVA.COM</t>
  </si>
  <si>
    <t>Oficina Miraflores</t>
  </si>
  <si>
    <t>GERENCIA TERRITORIAL MIRAFLORES</t>
  </si>
  <si>
    <t>Miraflores</t>
  </si>
  <si>
    <t>P004922</t>
  </si>
  <si>
    <t>VICTOR ADRIAN ZARATE OLIVARI</t>
  </si>
  <si>
    <t>VZARATE@BBVA.COM</t>
  </si>
  <si>
    <t>Oficina San Antonio</t>
  </si>
  <si>
    <t>P005010</t>
  </si>
  <si>
    <t>NORA IRMA VADILLO LOPEZ</t>
  </si>
  <si>
    <t>NVADILLO@BBVA.COM</t>
  </si>
  <si>
    <t>Oficina Magdalena</t>
  </si>
  <si>
    <t>GERENCIA TERRITORIAL LINCE</t>
  </si>
  <si>
    <t>Lince</t>
  </si>
  <si>
    <t>P005184</t>
  </si>
  <si>
    <t>RUBEN ERNESTO QUINTO MALDONADO</t>
  </si>
  <si>
    <t>RQUINTO@BBVA.COM</t>
  </si>
  <si>
    <t>Oficina Salamanca</t>
  </si>
  <si>
    <t>P005225</t>
  </si>
  <si>
    <t>FRANCISCO PRIALE GUTIERREZ</t>
  </si>
  <si>
    <t>FPRIALE@BBVA.COM</t>
  </si>
  <si>
    <t>Oficina Naciones Unidas</t>
  </si>
  <si>
    <t>P005249</t>
  </si>
  <si>
    <t>ISABEL MERCEDES COLOMBATTI ROBLES</t>
  </si>
  <si>
    <t>ICOLOMBATTI@BBVA.COM</t>
  </si>
  <si>
    <t>Oficina Repsol</t>
  </si>
  <si>
    <t>P005257</t>
  </si>
  <si>
    <t>MARIO RICARDO ASTENGO QUIROS</t>
  </si>
  <si>
    <t>MASTENGO@BBVA.COM</t>
  </si>
  <si>
    <t>Oficina La Perla</t>
  </si>
  <si>
    <t>P005267</t>
  </si>
  <si>
    <t>JOSE GREGORIO YENGLE SANCHEZ</t>
  </si>
  <si>
    <t>JYENGLE@BBVA.COM</t>
  </si>
  <si>
    <t>Oficina Arequipa</t>
  </si>
  <si>
    <t>P005274</t>
  </si>
  <si>
    <t>JOSE MIGUEL FERNANDEZ LOAIZA</t>
  </si>
  <si>
    <t>JMFERNANDEZ@BBVA.COM</t>
  </si>
  <si>
    <t>ADM. GERENCIA TERRITORIAL MIRAFLORES</t>
  </si>
  <si>
    <t>P005277</t>
  </si>
  <si>
    <t>ROSA ESTELA LOAYZA SUAREZ</t>
  </si>
  <si>
    <t>RLOAYZA@BBVA.COM</t>
  </si>
  <si>
    <t>Oficina Huaycan</t>
  </si>
  <si>
    <t>GERENCIA TERRITORIAL CENTRO</t>
  </si>
  <si>
    <t>Centro</t>
  </si>
  <si>
    <t>P005294</t>
  </si>
  <si>
    <t>CARLOS ENRIQUE MOLGORA GONZALES</t>
  </si>
  <si>
    <t>CMOLGORA@BBVA.COM</t>
  </si>
  <si>
    <t>Oficina Aviación</t>
  </si>
  <si>
    <t>P005305</t>
  </si>
  <si>
    <t>ROCIO DEL PILAR GRANDE RAMIREZ</t>
  </si>
  <si>
    <t>RGRANDE@BBVA.COM</t>
  </si>
  <si>
    <t>Oficina Especial IMUPESA</t>
  </si>
  <si>
    <t>P005312</t>
  </si>
  <si>
    <t>OSCAR BLASS LOPEZ VENTURO</t>
  </si>
  <si>
    <t>OLOPEZ@BBVA.COM</t>
  </si>
  <si>
    <t>Oficina Especial Nestlé-D'onofrio</t>
  </si>
  <si>
    <t>P005327</t>
  </si>
  <si>
    <t>FRANK CARLOS TORRES WONG</t>
  </si>
  <si>
    <t>FTORRES@BBVA.COM</t>
  </si>
  <si>
    <t>Oficina Capon</t>
  </si>
  <si>
    <t>P005403</t>
  </si>
  <si>
    <t>BERNARDO DOMINGO MORALES ANGEL</t>
  </si>
  <si>
    <t>BMORALES@BBVA.COM</t>
  </si>
  <si>
    <t>Oficina C.C. Risso</t>
  </si>
  <si>
    <t>P005404</t>
  </si>
  <si>
    <t>YOLANDA LUCY LOZADA DEJO</t>
  </si>
  <si>
    <t>YLOZADA@BBVA.COM</t>
  </si>
  <si>
    <t>Oficina Camacho</t>
  </si>
  <si>
    <t>GERENCIA TERRITORIAL SURCO LA MOLINA</t>
  </si>
  <si>
    <t>Surco La Molina</t>
  </si>
  <si>
    <t>P005405</t>
  </si>
  <si>
    <t>ROSA SOCORRO VIGO TORRES</t>
  </si>
  <si>
    <t>RVIGO@BBVA.COM</t>
  </si>
  <si>
    <t>Oficina Av. Central</t>
  </si>
  <si>
    <t>P005412</t>
  </si>
  <si>
    <t>SANDRA SERRANO GUEVARA</t>
  </si>
  <si>
    <t>SSERRANO@BBVA.COM</t>
  </si>
  <si>
    <t>Oficina Naranjal</t>
  </si>
  <si>
    <t>GERENCIA TERRITORIAL NORTE CHICO</t>
  </si>
  <si>
    <t>Norte Chico</t>
  </si>
  <si>
    <t>P005463</t>
  </si>
  <si>
    <t>CESAR ENRIQUE HORNA GONZALES</t>
  </si>
  <si>
    <t>CHORNA@BBVA.COM</t>
  </si>
  <si>
    <t>Oficina Santa Catalina</t>
  </si>
  <si>
    <t>P005507</t>
  </si>
  <si>
    <t>OMAIDA QUINTINA GARCILAZO ZEGARRA</t>
  </si>
  <si>
    <t>OGARCILAZO@BBVA.COM</t>
  </si>
  <si>
    <t>Oficina La Victoria</t>
  </si>
  <si>
    <t>P005545</t>
  </si>
  <si>
    <t>TEOBALDO RUBEN CORDOVA MORALES</t>
  </si>
  <si>
    <t>sara.mendez.altamirano@bbva.com</t>
  </si>
  <si>
    <t>ADM. GERENCIA TERRITORIAL LINCE</t>
  </si>
  <si>
    <t>P005694</t>
  </si>
  <si>
    <t>SILVIA MARIA BUSTAMANTE OLCESE</t>
  </si>
  <si>
    <t>SPILCO@BBVA.COM</t>
  </si>
  <si>
    <t>Oficina Santa Anita</t>
  </si>
  <si>
    <t>P005707</t>
  </si>
  <si>
    <t>VICTOR JESUS MENDIOLA URIBE</t>
  </si>
  <si>
    <t>VMENDIOLA@BBVA.COM</t>
  </si>
  <si>
    <t>BE San Isidro</t>
  </si>
  <si>
    <t>GERENCIA REGIONAL BE 3</t>
  </si>
  <si>
    <t>Regional 3</t>
  </si>
  <si>
    <t>P005708</t>
  </si>
  <si>
    <t>MARIA ANGELA PACHECO ESPEJO</t>
  </si>
  <si>
    <t>MLASTARRIA@BBVA.COM</t>
  </si>
  <si>
    <t>Oficina Especial Serpost Aduanas</t>
  </si>
  <si>
    <t>P005804</t>
  </si>
  <si>
    <t>LUIS AUGUSTO BARRIOS CAUSO</t>
  </si>
  <si>
    <t>LBARRIOS@BBVA.COM</t>
  </si>
  <si>
    <t>Oficina Cusco</t>
  </si>
  <si>
    <t>P005887</t>
  </si>
  <si>
    <t>JORGE FRANCISCO CARREON CANNY</t>
  </si>
  <si>
    <t>JCARREON@BBVA.COM</t>
  </si>
  <si>
    <t>Oficina Ilo</t>
  </si>
  <si>
    <t>P005890</t>
  </si>
  <si>
    <t>RODOLFO ZAVALAGA BUSTOS</t>
  </si>
  <si>
    <t>RZAVALAGA@BBVA.COM</t>
  </si>
  <si>
    <t>X75</t>
  </si>
  <si>
    <t>JEFE SERVICE ADMINISTRATION</t>
  </si>
  <si>
    <t>P005917</t>
  </si>
  <si>
    <t>SUSANA ROSARIO REYES CACERES</t>
  </si>
  <si>
    <t>SREYESC@BBVA.COM</t>
  </si>
  <si>
    <t>Oficina Premium San Isidro</t>
  </si>
  <si>
    <t>GERENCIA TERRITORIAL BANCA PREMIUM</t>
  </si>
  <si>
    <t>Banca Premium</t>
  </si>
  <si>
    <t>B49</t>
  </si>
  <si>
    <t>SUB GERENTE DE OPERAC B PREM</t>
  </si>
  <si>
    <t>P005925</t>
  </si>
  <si>
    <t>ROCIO DEL PILAR OLIVA DELLEPIANE</t>
  </si>
  <si>
    <t>ROLIVA@BBVA.COM</t>
  </si>
  <si>
    <t>Oficina Mall Aventura Plaza Arequipa</t>
  </si>
  <si>
    <t>P005941</t>
  </si>
  <si>
    <t>MARIA EUGENIA ALARCON MANSILLA</t>
  </si>
  <si>
    <t>MEALARCON@BBVA.COM</t>
  </si>
  <si>
    <t>Oficina Huancayo</t>
  </si>
  <si>
    <t>P005962</t>
  </si>
  <si>
    <t>JUAN CARLOS AJALCRIÑA YRIARTE</t>
  </si>
  <si>
    <t>jsihuay@bbva.com</t>
  </si>
  <si>
    <t>BE Santa Cruz</t>
  </si>
  <si>
    <t>P005966</t>
  </si>
  <si>
    <t>ANA LUZ CORDOVA MURGA</t>
  </si>
  <si>
    <t>ALCORDOVA@BBVA.COM</t>
  </si>
  <si>
    <t>M90</t>
  </si>
  <si>
    <t>ADM. GERENCIA TERRITORIAL  ORIENTE</t>
  </si>
  <si>
    <t>GERENCIA TERRITORIAL ORIENTE</t>
  </si>
  <si>
    <t>P005994</t>
  </si>
  <si>
    <t>LUCIO FERNANDO TARAMONA QUEZADA</t>
  </si>
  <si>
    <t>LTARAMONA@BBVA.COM</t>
  </si>
  <si>
    <t>BE Dos de Mayo</t>
  </si>
  <si>
    <t>P006016</t>
  </si>
  <si>
    <t>LUIS RICARDO TALAVERA GONZALES</t>
  </si>
  <si>
    <t>RTALAVERA@BBVA.COM</t>
  </si>
  <si>
    <t>Oficina Corpac</t>
  </si>
  <si>
    <t>P006031</t>
  </si>
  <si>
    <t>NANCY ELIANA NONTOL ABANTO</t>
  </si>
  <si>
    <t>NNONTOL@BBVA.COM</t>
  </si>
  <si>
    <t>Oficina Especial Senati</t>
  </si>
  <si>
    <t>P006065</t>
  </si>
  <si>
    <t>MANUEL CARLOS YARLEQUE SAUSA</t>
  </si>
  <si>
    <t>MYARLEQUE@BBVA.COM</t>
  </si>
  <si>
    <t>M46</t>
  </si>
  <si>
    <t>ADM. GERENCIA TERRITORIAL NORTE CHICO</t>
  </si>
  <si>
    <t>P006069</t>
  </si>
  <si>
    <t>TULIO EUGENIO RIVERO NEGRI</t>
  </si>
  <si>
    <t>TRIVERO@BBVA.COM</t>
  </si>
  <si>
    <t>ADM. GERENCIA TERRITORIAL BANCA PREMIUM</t>
  </si>
  <si>
    <t>B26</t>
  </si>
  <si>
    <t>GTE TERRITORIAL BCA PRIVADA</t>
  </si>
  <si>
    <t>P006153</t>
  </si>
  <si>
    <t>PEDRO FEDERICO DIEZ CANSECO BRICEÑO</t>
  </si>
  <si>
    <t>PDIEZCANSECO@BBVA.COM</t>
  </si>
  <si>
    <t>Oficina Pisco</t>
  </si>
  <si>
    <t>GERENCIA TERRITORIAL SUR CHICO</t>
  </si>
  <si>
    <t>Sur Chico</t>
  </si>
  <si>
    <t>P006319</t>
  </si>
  <si>
    <t>JESUS ADOLFO GOMEZ URIBE</t>
  </si>
  <si>
    <t>JESUS.GOMEZU@BBVA.COM</t>
  </si>
  <si>
    <t>Oficina Abancay Congreso</t>
  </si>
  <si>
    <t>P006497</t>
  </si>
  <si>
    <t>VERONICA ESPINOZA MEJIA</t>
  </si>
  <si>
    <t>VESPINOZA@BBVA.COM</t>
  </si>
  <si>
    <t>Oficina Real Plaza Cusco</t>
  </si>
  <si>
    <t>P006682</t>
  </si>
  <si>
    <t>FELIX VENEGAS VERGARA</t>
  </si>
  <si>
    <t>FVENEGAS@BBVA.COM</t>
  </si>
  <si>
    <t>Oficina Tarma</t>
  </si>
  <si>
    <t>P006688</t>
  </si>
  <si>
    <t>JUAN CARLOS INGA MARIN</t>
  </si>
  <si>
    <t>ines.vargas@bbva.com</t>
  </si>
  <si>
    <t>Oficina Las Begonias</t>
  </si>
  <si>
    <t>P006717</t>
  </si>
  <si>
    <t>MIGUEL ANGEL ESPINOZA CASQUINO</t>
  </si>
  <si>
    <t>MAESPINOZA@BBVA.COM</t>
  </si>
  <si>
    <t>Oficina Bolognesi</t>
  </si>
  <si>
    <t>P006730</t>
  </si>
  <si>
    <t>ROSANNA MARIA COBOS LUXARDO</t>
  </si>
  <si>
    <t>RCOBOS@BBVA.COM</t>
  </si>
  <si>
    <t>BE Huancayo</t>
  </si>
  <si>
    <t>P006737</t>
  </si>
  <si>
    <t>JUAN CARLOS MAGUIÑA RAMIREZ</t>
  </si>
  <si>
    <t>JMAGUINA@BBVA.COM</t>
  </si>
  <si>
    <t>Oficina San Juan</t>
  </si>
  <si>
    <t>Oriente</t>
  </si>
  <si>
    <t>P006956</t>
  </si>
  <si>
    <t>JUVENCIO RIMACHI INGA</t>
  </si>
  <si>
    <t>JRIMACHI@BBVA.COM</t>
  </si>
  <si>
    <t>BE Iquitos</t>
  </si>
  <si>
    <t>P006958</t>
  </si>
  <si>
    <t>WALTER JAVIER DEL AGUILA ZUMAETA</t>
  </si>
  <si>
    <t>WDELAGUILA@BBVA.COM</t>
  </si>
  <si>
    <t>Oficina Mercado Modelo Chimbote</t>
  </si>
  <si>
    <t>P006984</t>
  </si>
  <si>
    <t>ERIBERTO RIOS RUIZ</t>
  </si>
  <si>
    <t>ERIOSR@BBVA.COM</t>
  </si>
  <si>
    <t>Oficina Barrio Comercio</t>
  </si>
  <si>
    <t>P006993</t>
  </si>
  <si>
    <t>VICTOR HERNAN VELA REATEGUI</t>
  </si>
  <si>
    <t>VVELA@BBVA.COM</t>
  </si>
  <si>
    <t>Oficina Huacho</t>
  </si>
  <si>
    <t>P007037</t>
  </si>
  <si>
    <t>JOSE ANGEL RIVERA SUAREZ</t>
  </si>
  <si>
    <t>JRIVERA@BBVA.COM</t>
  </si>
  <si>
    <t>Oficina Bellavista - San Martín</t>
  </si>
  <si>
    <t>P007049</t>
  </si>
  <si>
    <t>MIGUEL ANTONIO CHOTA REATEGUI</t>
  </si>
  <si>
    <t>MCHOTA@BBVA.COM</t>
  </si>
  <si>
    <t>Oficina Cajamarca</t>
  </si>
  <si>
    <t>P007054</t>
  </si>
  <si>
    <t>MARCELINO JARA PENADILLO</t>
  </si>
  <si>
    <t>MJARA@BBVA.COM</t>
  </si>
  <si>
    <t>Oficina Huánuco</t>
  </si>
  <si>
    <t>P007071</t>
  </si>
  <si>
    <t>MARLON ALDO MESIAS PINEDO</t>
  </si>
  <si>
    <t>MMESIAS@BBVA.COM</t>
  </si>
  <si>
    <t>Oficina Sullana</t>
  </si>
  <si>
    <t>Norte</t>
  </si>
  <si>
    <t>P007172</t>
  </si>
  <si>
    <t>MANUEL RICARDO REAÑO VILCHEZ</t>
  </si>
  <si>
    <t>MREANO@BBVA.COM</t>
  </si>
  <si>
    <t>Oficina Moshoqueque</t>
  </si>
  <si>
    <t>P007184</t>
  </si>
  <si>
    <t>VICTOR BORIS PAZ PANTA</t>
  </si>
  <si>
    <t>VPAZ@BBVA.COM</t>
  </si>
  <si>
    <t>Oficina El Porvenir</t>
  </si>
  <si>
    <t>P007231</t>
  </si>
  <si>
    <t>JORGE ALBERTO LUJAN CARBAJAL</t>
  </si>
  <si>
    <t>JLUJAN@BBVA.COM</t>
  </si>
  <si>
    <t>Oficina Mall Plaza Trujillo</t>
  </si>
  <si>
    <t>P007284</t>
  </si>
  <si>
    <t>JORGE YVAN ARRASCO MIRANDA</t>
  </si>
  <si>
    <t>JARRASCO@BBVA.COM</t>
  </si>
  <si>
    <t>Oficina Larco - Trujillo</t>
  </si>
  <si>
    <t>P007294</t>
  </si>
  <si>
    <t>LUCIO EDUARDO SALAZAR RIOS</t>
  </si>
  <si>
    <t>LSALAZAR@BBVA.COM</t>
  </si>
  <si>
    <t>BE Trujillo</t>
  </si>
  <si>
    <t>P007314</t>
  </si>
  <si>
    <t>LUIS BALLESTEROS OLAZABAL</t>
  </si>
  <si>
    <t>LBALLESTEROS@BBVA.COM</t>
  </si>
  <si>
    <t>Oficina Mercado Modelo - Chiclayo</t>
  </si>
  <si>
    <t>P007319</t>
  </si>
  <si>
    <t>MARIA CARIDAD CASTILLO CASTILLO</t>
  </si>
  <si>
    <t>MCCASTILLO@BBVA.COM</t>
  </si>
  <si>
    <t>Oficina Open Plaza Piura</t>
  </si>
  <si>
    <t>P007354</t>
  </si>
  <si>
    <t>LANTY MARTINEZ MORENO</t>
  </si>
  <si>
    <t>LMARTINEZM@BBVA.COM</t>
  </si>
  <si>
    <t>BE Chiclayo</t>
  </si>
  <si>
    <t>P007362</t>
  </si>
  <si>
    <t>EDGARDO ALEJANDRO QUIROZ DELGADO</t>
  </si>
  <si>
    <t>EQUIROZ@BBVA.COM</t>
  </si>
  <si>
    <t>Oficina Mercado Mayorista - Trujillo</t>
  </si>
  <si>
    <t>P007383</t>
  </si>
  <si>
    <t>JORGE MARTIN MORENO IPARRAGUIRRE</t>
  </si>
  <si>
    <t>JMMORENO@BBVA.COM</t>
  </si>
  <si>
    <t>Oficina Husares de Junin -Trujillo</t>
  </si>
  <si>
    <t>P007390</t>
  </si>
  <si>
    <t>MARTIN ALBERTO NAVARRO MORI</t>
  </si>
  <si>
    <t>MNAVARRO@BBVA.COM</t>
  </si>
  <si>
    <t>Oficina Jaen</t>
  </si>
  <si>
    <t>P007413</t>
  </si>
  <si>
    <t>CARLOS MANUEL PACHAS CANCINO</t>
  </si>
  <si>
    <t>CPACHAS@BBVA.COM</t>
  </si>
  <si>
    <t>Oficina Trujillo</t>
  </si>
  <si>
    <t>P007424</t>
  </si>
  <si>
    <t>RAMON MANUEL CHERO MALDONADO</t>
  </si>
  <si>
    <t>RCHERO@BBVA.COM</t>
  </si>
  <si>
    <t>Oficina Talara</t>
  </si>
  <si>
    <t>P007429</t>
  </si>
  <si>
    <t>LUIS RAMON SOSA SAAVEDRA</t>
  </si>
  <si>
    <t>LSOSA@BBVA.COM</t>
  </si>
  <si>
    <t>Oficina Real Plaza Piura</t>
  </si>
  <si>
    <t>P007432</t>
  </si>
  <si>
    <t>RICARDO JULIO VASQUEZ CHAMBI</t>
  </si>
  <si>
    <t>RVASQUEZ@BBVA.COM</t>
  </si>
  <si>
    <t>Oficina Moyobamba</t>
  </si>
  <si>
    <t>P007456</t>
  </si>
  <si>
    <t>JAIME ROBERTO OTERO LIMA</t>
  </si>
  <si>
    <t>JOTERO@BBVA.COM</t>
  </si>
  <si>
    <t>BE Callao</t>
  </si>
  <si>
    <t>P007534</t>
  </si>
  <si>
    <t>ANGEL ARMANDO PEREZ NOVOA</t>
  </si>
  <si>
    <t>AAPEREZN@BBVA.COM</t>
  </si>
  <si>
    <t>M47</t>
  </si>
  <si>
    <t>ADM. GERENCIA TERRITORIAL SURCO LA MOLINA</t>
  </si>
  <si>
    <t>P007572</t>
  </si>
  <si>
    <t>MARIA DEL PILAR CARDENAS DIAZ</t>
  </si>
  <si>
    <t>MDPCARDENAS@BBVA.COM</t>
  </si>
  <si>
    <t>Oficina Especial Neptunia</t>
  </si>
  <si>
    <t>P007604</t>
  </si>
  <si>
    <t>SEGUNDO SIGIFREDO RODRIGUEZ LOPEZ</t>
  </si>
  <si>
    <t>SSRODRIGUEZ@BBVA.COM</t>
  </si>
  <si>
    <t>BE Lima</t>
  </si>
  <si>
    <t>P007608</t>
  </si>
  <si>
    <t>JUAN MINOR AGUILAR MACEDO</t>
  </si>
  <si>
    <t>JMAGUILAR@BBVA.COM</t>
  </si>
  <si>
    <t>BE Chincha</t>
  </si>
  <si>
    <t>P007626</t>
  </si>
  <si>
    <t>PAUL RAUL SOTELO CALDERON</t>
  </si>
  <si>
    <t>PSOTELO@BBVA.COM</t>
  </si>
  <si>
    <t>Oficina Banca Institucional</t>
  </si>
  <si>
    <t>BANCA INSTITUCIONAL</t>
  </si>
  <si>
    <t>I43</t>
  </si>
  <si>
    <t>SUB GERENTE DE OPERAC BI</t>
  </si>
  <si>
    <t>P007726</t>
  </si>
  <si>
    <t>RICARDO ANTONIO ORTIZ LUY</t>
  </si>
  <si>
    <t>RORTIZ@BBVA.COM</t>
  </si>
  <si>
    <t>Oficina Ingeniería</t>
  </si>
  <si>
    <t>P007736</t>
  </si>
  <si>
    <t>ELIZABETH JENNY COLLANTES ARISTA</t>
  </si>
  <si>
    <t>ECOLLANTES@BBVA.COM</t>
  </si>
  <si>
    <t>P007765</t>
  </si>
  <si>
    <t>ALFREDO ARTURO GALLARDO NUNEZ</t>
  </si>
  <si>
    <t>AGALLARDO@BBVA.COM</t>
  </si>
  <si>
    <t>Banca Corporativa Local</t>
  </si>
  <si>
    <t>BANCA CORPORATIVA LOCAL Y BIBEI</t>
  </si>
  <si>
    <t>Transactional</t>
  </si>
  <si>
    <t>P007770</t>
  </si>
  <si>
    <t>KARLA JANETTE SANDOVAL ALBURQUEQUE</t>
  </si>
  <si>
    <t>KSANDOVAL@BBVA.COM</t>
  </si>
  <si>
    <t>Oficina Premium Pardo y Aliaga</t>
  </si>
  <si>
    <t>P007787</t>
  </si>
  <si>
    <t>JUAN JAVIER GONZALES QUIROZ</t>
  </si>
  <si>
    <t>JJGONZALES@BBVA.COM</t>
  </si>
  <si>
    <t>ADM. GERENCIA TERRITORIAL LIMA CENTRO</t>
  </si>
  <si>
    <t>P007808</t>
  </si>
  <si>
    <t>SANDRA ELCIRA GUILLEN VELASQUEZ</t>
  </si>
  <si>
    <t>SGUILLEN@BBVA.COM</t>
  </si>
  <si>
    <t>Oficina ESSALUD</t>
  </si>
  <si>
    <t>P007811</t>
  </si>
  <si>
    <t>VILMA GISELLA DOLCI ZUÑIGA</t>
  </si>
  <si>
    <t>VDOLCI@BBVA.COM</t>
  </si>
  <si>
    <t>Oficina Cayma</t>
  </si>
  <si>
    <t>P007819</t>
  </si>
  <si>
    <t>PAMELA PONCE CORNEJO</t>
  </si>
  <si>
    <t>PPONCE@BBVA.COM</t>
  </si>
  <si>
    <t>Oficina Miraflores - Arequipa</t>
  </si>
  <si>
    <t>P007828</t>
  </si>
  <si>
    <t>CECILIA YSABEL BEJARANO TREVINOS</t>
  </si>
  <si>
    <t>CBEJARANO@BBVA.COM</t>
  </si>
  <si>
    <t>ADM. GERENCIA TERRITORIAL SUR CHICO</t>
  </si>
  <si>
    <t>P007936</t>
  </si>
  <si>
    <t>GISELLA ISABEL MACHADO PEREZ</t>
  </si>
  <si>
    <t>GIMACHADO@BBVA.COM</t>
  </si>
  <si>
    <t>ADM. GERENCIA TERRITORIAL SUR</t>
  </si>
  <si>
    <t>P008017</t>
  </si>
  <si>
    <t>LORENZO EDUARDO MOSSONE MOYANO</t>
  </si>
  <si>
    <t>LMOSSONE@BBVA.COM</t>
  </si>
  <si>
    <t>BE Arequipa</t>
  </si>
  <si>
    <t>P008034</t>
  </si>
  <si>
    <t>DELFIN ALFREDO RIVERO SANCHEZ</t>
  </si>
  <si>
    <t>DRIVERO@BBVA.COM</t>
  </si>
  <si>
    <t>ADM. GERENCIA TERRITORIAL CENTRO</t>
  </si>
  <si>
    <t>P008048</t>
  </si>
  <si>
    <t>MAX HENRY AMASIFUEN SANTILLAN</t>
  </si>
  <si>
    <t>HAMASIFUEN@BBVA.COM</t>
  </si>
  <si>
    <t>Oficina Iquitos</t>
  </si>
  <si>
    <t>P008122</t>
  </si>
  <si>
    <t>JOHNNY WILLIAM CORNEJO PALOMINO</t>
  </si>
  <si>
    <t>JCORNEJO@BBVA.COM</t>
  </si>
  <si>
    <t>Oficina Palao</t>
  </si>
  <si>
    <t>P008145</t>
  </si>
  <si>
    <t>ROSANA MARIELA CARRILLO ROJAS</t>
  </si>
  <si>
    <t>RCARRILLO@BBVA.COM</t>
  </si>
  <si>
    <t>Oficina Chiclayo</t>
  </si>
  <si>
    <t>P008158</t>
  </si>
  <si>
    <t>JORGE EDGARD PEREZ VELASQUEZ</t>
  </si>
  <si>
    <t>JPEREZV@BBVA.COM</t>
  </si>
  <si>
    <t>Oficina Nuevo Chimbote</t>
  </si>
  <si>
    <t>P008161</t>
  </si>
  <si>
    <t>YSELA JANET SALAZAR ALEGRE</t>
  </si>
  <si>
    <t>YSALAZAR@BBVA.COM</t>
  </si>
  <si>
    <t>Oficina La Planicie</t>
  </si>
  <si>
    <t>P008241</t>
  </si>
  <si>
    <t>KATTIA NATALIA CHIRINOS PONCE</t>
  </si>
  <si>
    <t>KCHIRINOS@BBVA.COM</t>
  </si>
  <si>
    <t>Oficina San Isidro</t>
  </si>
  <si>
    <t>P008282</t>
  </si>
  <si>
    <t>JOSE ANTONIO PEÑALOZA MENDOZA</t>
  </si>
  <si>
    <t>JAPENALOZA@BBVA.COM</t>
  </si>
  <si>
    <t>Oficina San Luis</t>
  </si>
  <si>
    <t>P008391</t>
  </si>
  <si>
    <t>CLAUDIA LILIANA VIGO RIVERA</t>
  </si>
  <si>
    <t>CVIGO@BBVA.COM</t>
  </si>
  <si>
    <t>Oficina Plaza del Sol de Huacho</t>
  </si>
  <si>
    <t>P008418</t>
  </si>
  <si>
    <t>CARLOS ENRIQUE TORRES PEÑA</t>
  </si>
  <si>
    <t>CETORRES@BBVA.COM</t>
  </si>
  <si>
    <t>Oficina Nicolas Ayllon</t>
  </si>
  <si>
    <t>P008446</t>
  </si>
  <si>
    <t>CESAR ALFREDO GUERRA RAMIREZ</t>
  </si>
  <si>
    <t>CGUERRAR@BBVA.COM</t>
  </si>
  <si>
    <t>Oficina José Luis Bustamante y Rivero</t>
  </si>
  <si>
    <t>P008470</t>
  </si>
  <si>
    <t>CARLOS CESAR GAMBARINI SALAS</t>
  </si>
  <si>
    <t>CGAMBARINI@BBVA.COM</t>
  </si>
  <si>
    <t>Oficina El Remanso</t>
  </si>
  <si>
    <t>P008505</t>
  </si>
  <si>
    <t>MANUEL OMAR BRAVO TORRES</t>
  </si>
  <si>
    <t>MBRAVO@BBVA.COM</t>
  </si>
  <si>
    <t>Oficina Benavides</t>
  </si>
  <si>
    <t>P008518</t>
  </si>
  <si>
    <t>ANGELI POGGI FALCON</t>
  </si>
  <si>
    <t>APOGGI@BBVA.COM</t>
  </si>
  <si>
    <t>Oficina Piura</t>
  </si>
  <si>
    <t>P008525</t>
  </si>
  <si>
    <t>VIVIANA ROSIBEL CARDENAS ARROYO</t>
  </si>
  <si>
    <t>VCARDENASA@BBVA.COM</t>
  </si>
  <si>
    <t>Oficina Multiplaza</t>
  </si>
  <si>
    <t>P008533</t>
  </si>
  <si>
    <t>KAREN IVONNE ROJAS GARCIA</t>
  </si>
  <si>
    <t>KROJASG@BBVA.COM</t>
  </si>
  <si>
    <t>Oficina Camana - Arequipa</t>
  </si>
  <si>
    <t>P008546</t>
  </si>
  <si>
    <t>ROSA ELENA PINTO RAZURI</t>
  </si>
  <si>
    <t>ROSAELENA.PINTO@BBVA.COM</t>
  </si>
  <si>
    <t>Oficina Arenales</t>
  </si>
  <si>
    <t>P008581</t>
  </si>
  <si>
    <t>ANGELICA MARIANA DEL CARMEN LINGAN TARRILLO</t>
  </si>
  <si>
    <t>ALINGAN@BBVA.COM</t>
  </si>
  <si>
    <t>Oficina El Trigal</t>
  </si>
  <si>
    <t>P008642</t>
  </si>
  <si>
    <t>SHEILLAH SOLANO LOPEZ</t>
  </si>
  <si>
    <t>SSOLANO@BBVA.COM</t>
  </si>
  <si>
    <t>Oficina Mega Plaza Chimbote</t>
  </si>
  <si>
    <t>P008733</t>
  </si>
  <si>
    <t>CATHERINE JULIANA GALVEZ AGUIRRE</t>
  </si>
  <si>
    <t>KGALVEZ@BBVA.COM</t>
  </si>
  <si>
    <t>Oficina Huaral</t>
  </si>
  <si>
    <t>P008745</t>
  </si>
  <si>
    <t>SILVIA PAMELA ESQUIVEL RAMIREZ</t>
  </si>
  <si>
    <t>SESQUIVEL@BBVA.COM</t>
  </si>
  <si>
    <t>Oficina Santa Rosa - Sullana</t>
  </si>
  <si>
    <t>P008813</t>
  </si>
  <si>
    <t>JACQUELINE DEL PILAR BARRIENTOS CASTRO</t>
  </si>
  <si>
    <t>JBARRIENTOS@BBVA.COM</t>
  </si>
  <si>
    <t>Oficina Chimbote</t>
  </si>
  <si>
    <t>P008857</t>
  </si>
  <si>
    <t>KARLA EMPERATRIZ SAGASTEGUI ARANA</t>
  </si>
  <si>
    <t>KSAGASTEGUI@BBVA.COM</t>
  </si>
  <si>
    <t>Oficina Cerro Colorado</t>
  </si>
  <si>
    <t>P008860</t>
  </si>
  <si>
    <t>ELSA BENITES CASTILLO</t>
  </si>
  <si>
    <t>EBENITES@BBVA.COM</t>
  </si>
  <si>
    <t>Oficina Huaraz Ancash</t>
  </si>
  <si>
    <t>P008881</t>
  </si>
  <si>
    <t>JIMMY YURY ALVA ROSALES</t>
  </si>
  <si>
    <t>JALVA@BBVA.COM</t>
  </si>
  <si>
    <t>Oficina Tarapoto</t>
  </si>
  <si>
    <t>P008886</t>
  </si>
  <si>
    <t>CHARLES DOCUMET MANRIQUE</t>
  </si>
  <si>
    <t>CDOCUMET@BBVA.COM</t>
  </si>
  <si>
    <t>Oficina San Juan de Miraflores</t>
  </si>
  <si>
    <t>P008959</t>
  </si>
  <si>
    <t>JORGE LUIS GALVEZ SANCHEZ</t>
  </si>
  <si>
    <t>JLGALVEZ@BBVA.COM</t>
  </si>
  <si>
    <t>Oficina Chorillos</t>
  </si>
  <si>
    <t>P008972</t>
  </si>
  <si>
    <t>VICTOR RAUL TOSCANO BENDEZU</t>
  </si>
  <si>
    <t>VTOSCANO@BBVA.COM</t>
  </si>
  <si>
    <t>Oficina C.C. San Isidro</t>
  </si>
  <si>
    <t>P009062</t>
  </si>
  <si>
    <t>RENZO WILSON VALVERDE BECERRA</t>
  </si>
  <si>
    <t>RVALVERDEB@BBVA.COM</t>
  </si>
  <si>
    <t>Oficina Nicolas Arriola 1</t>
  </si>
  <si>
    <t>P009095</t>
  </si>
  <si>
    <t>MARIA DEL CARMEN REYNALDE PAPA</t>
  </si>
  <si>
    <t>MREYNALDE@BBVA.COM</t>
  </si>
  <si>
    <t>M38</t>
  </si>
  <si>
    <t>ADM. REGIONAL BE 3</t>
  </si>
  <si>
    <t>Empresas e Instituciones</t>
  </si>
  <si>
    <t>OS8</t>
  </si>
  <si>
    <t>GERENTE REGIONAL BE</t>
  </si>
  <si>
    <t>P009147</t>
  </si>
  <si>
    <t>ORLANDO EDUARDO DIEZ SANGUINETI</t>
  </si>
  <si>
    <t>ODIEZ@BBVA.COM</t>
  </si>
  <si>
    <t>Oficina Ricardo Palma</t>
  </si>
  <si>
    <t>P009290</t>
  </si>
  <si>
    <t>KARINA ISABEL FLORES LARTIGA</t>
  </si>
  <si>
    <t>KFLORES@BBVA.COM</t>
  </si>
  <si>
    <t>Oficina Domingo Cueto</t>
  </si>
  <si>
    <t>P009313</t>
  </si>
  <si>
    <t>SANDRA LISSET VILLAGOMEZ CAVERO</t>
  </si>
  <si>
    <t>SVILLAGOMEZ@BBVA.COM</t>
  </si>
  <si>
    <t>Oficina Juliaca</t>
  </si>
  <si>
    <t>P009337</t>
  </si>
  <si>
    <t>CAMILO HALLASI APARICIO</t>
  </si>
  <si>
    <t>CHALLASI@BBVA.COM</t>
  </si>
  <si>
    <t>Oficina Tacna</t>
  </si>
  <si>
    <t>P009396</t>
  </si>
  <si>
    <t>CRISTHIAN MANUEL ZAMORA FUENTES</t>
  </si>
  <si>
    <t>CZAMORA@BBVA.COM</t>
  </si>
  <si>
    <t>Oficina Cavenecia</t>
  </si>
  <si>
    <t>P009406</t>
  </si>
  <si>
    <t>MARITZA ESTHER REDHEAD MAGDE</t>
  </si>
  <si>
    <t>MREDHEAD@BBVA.COM</t>
  </si>
  <si>
    <t>Oficina Rioja</t>
  </si>
  <si>
    <t>P009655</t>
  </si>
  <si>
    <t>MIRKO DEL AGUILA PIÑA</t>
  </si>
  <si>
    <t>MDELAGUILA@BBVA.COM</t>
  </si>
  <si>
    <t>Oficina Chancay</t>
  </si>
  <si>
    <t>P009825</t>
  </si>
  <si>
    <t>KARIN MARJORIE SAAVEDRA BARDALES</t>
  </si>
  <si>
    <t>KSAAVEDRA@BBVA.COM</t>
  </si>
  <si>
    <t>ADM. GERENCIA TERRITORIAL LIMA RESIDENCIAL</t>
  </si>
  <si>
    <t>P009830</t>
  </si>
  <si>
    <t>CARLOS ENRIQUE HUAMAN ARISPE</t>
  </si>
  <si>
    <t>EHUAMAN@BBVA.COM</t>
  </si>
  <si>
    <t>Oficina San Borja</t>
  </si>
  <si>
    <t>P009956</t>
  </si>
  <si>
    <t>KARLA LILIANA MONTERO MEDINA</t>
  </si>
  <si>
    <t>KMONTERO@BBVA.COM</t>
  </si>
  <si>
    <t>Oficina Quillabamba</t>
  </si>
  <si>
    <t>P009976</t>
  </si>
  <si>
    <t>PEDRO PROSPERO CALLA ORTIZ</t>
  </si>
  <si>
    <t>PCALLA@BBVA.COM</t>
  </si>
  <si>
    <t>Oficina Javier Prado Oeste</t>
  </si>
  <si>
    <t>P009980</t>
  </si>
  <si>
    <t>GIANCARLO MARCIAL ARROYO MADRID</t>
  </si>
  <si>
    <t>GARROYO@BBVA.COM</t>
  </si>
  <si>
    <t>Oficina C.C.San Miguel</t>
  </si>
  <si>
    <t>P010769</t>
  </si>
  <si>
    <t>TERESA WENDY RODRIGUEZ SALAZAR</t>
  </si>
  <si>
    <t>TRODRIGUEZ@BBVA.COM</t>
  </si>
  <si>
    <t>Oficina San Felipe Comas</t>
  </si>
  <si>
    <t>P010826</t>
  </si>
  <si>
    <t>DINA OBLITAS URRUTIA</t>
  </si>
  <si>
    <t>DOBLITASU@BBVA.COM</t>
  </si>
  <si>
    <t>Oficina Camino Real</t>
  </si>
  <si>
    <t>P010865</t>
  </si>
  <si>
    <t>GISSELLA GABRIELA OVALLE CORNEJO</t>
  </si>
  <si>
    <t>GOVALLE@BBVA.COM</t>
  </si>
  <si>
    <t>BE Piura</t>
  </si>
  <si>
    <t>P010905</t>
  </si>
  <si>
    <t>MARIA DEL CARMEN ROSAS FERNANDEZ PRADA</t>
  </si>
  <si>
    <t>MROSASF@BBVA.COM</t>
  </si>
  <si>
    <t>Oficina Cronos</t>
  </si>
  <si>
    <t>P010909</t>
  </si>
  <si>
    <t>CARLA ELYZABETH VASQUEZ GENTILLE</t>
  </si>
  <si>
    <t>CEVASQUEZ@BBVA.COM</t>
  </si>
  <si>
    <t>Oficina Larco Tarata</t>
  </si>
  <si>
    <t>P011051</t>
  </si>
  <si>
    <t>BRUNO ELIO DENEGRI RAMIREZ</t>
  </si>
  <si>
    <t>BDENEGRI@BBVA.COM</t>
  </si>
  <si>
    <t>Oficina Av. Sucre</t>
  </si>
  <si>
    <t>P011088</t>
  </si>
  <si>
    <t>BERTHA DAYSE CUADROS CAJA</t>
  </si>
  <si>
    <t>BCUADROS@BBVA.COM</t>
  </si>
  <si>
    <t>Oficina Plaza Union</t>
  </si>
  <si>
    <t>Gerencia Territorial Lince</t>
  </si>
  <si>
    <t>P011189</t>
  </si>
  <si>
    <t>WILSON ANTONIO ZEGARRA SANGAMA</t>
  </si>
  <si>
    <t>WZEGARRA@BBVA.COM</t>
  </si>
  <si>
    <t>Oficina C.C. Aurora</t>
  </si>
  <si>
    <t>P011230</t>
  </si>
  <si>
    <t>MARGARITA PICON SANTILLANA</t>
  </si>
  <si>
    <t>MPICON@BBVA.COM</t>
  </si>
  <si>
    <t>Oficina Tingo Maria</t>
  </si>
  <si>
    <t>Gerencia Territorial Oriente</t>
  </si>
  <si>
    <t>P011340</t>
  </si>
  <si>
    <t>GUISSELLA CAROLINA GARCIA BRANCACHO</t>
  </si>
  <si>
    <t>GGARCIAB@BBVA.COM</t>
  </si>
  <si>
    <t>Oficina Paseo Mega Piura</t>
  </si>
  <si>
    <t>Gerencia Territorial Norte</t>
  </si>
  <si>
    <t>P011367</t>
  </si>
  <si>
    <t>JORGE ANTONIO APUY RISCO</t>
  </si>
  <si>
    <t>JAPUY@BBVA.COM</t>
  </si>
  <si>
    <t>Oficina Larapa</t>
  </si>
  <si>
    <t>P011420</t>
  </si>
  <si>
    <t>DONAL EDUARDO SALAZAR SARAVIA</t>
  </si>
  <si>
    <t>DSALAZARS@BBVA.COM</t>
  </si>
  <si>
    <t>Oficina Chacarilla</t>
  </si>
  <si>
    <t>P011478</t>
  </si>
  <si>
    <t>EDUARDO ALFREDO LEON CORES</t>
  </si>
  <si>
    <t>EALEON@BBVA.COM</t>
  </si>
  <si>
    <t>Oficina Base Naval</t>
  </si>
  <si>
    <t>P011489</t>
  </si>
  <si>
    <t>DIANA BEATRIZ BARRON RUIZ</t>
  </si>
  <si>
    <t>DBARRON@BBVA.COM</t>
  </si>
  <si>
    <t>Oficina Plaza de Armas Huanuco</t>
  </si>
  <si>
    <t>P011528</t>
  </si>
  <si>
    <t>ROCIO MERCEDES PEREZ MELGAREJO</t>
  </si>
  <si>
    <t>RPEREZM@BBVA.COM</t>
  </si>
  <si>
    <t>Oficina Los Olivos</t>
  </si>
  <si>
    <t>P011570</t>
  </si>
  <si>
    <t>MARY ALLYENSON BUSTAMANTE FERNANDEZ</t>
  </si>
  <si>
    <t>MABUSTAMANTE@BBVA.COM</t>
  </si>
  <si>
    <t>Oficina Higuereta</t>
  </si>
  <si>
    <t>P011643</t>
  </si>
  <si>
    <t>JULIE CATHERINE CHANAME SALAS</t>
  </si>
  <si>
    <t>JCHANAME@BBVA.COM</t>
  </si>
  <si>
    <t>I21</t>
  </si>
  <si>
    <t>GERENTE BANCA INSTITUCIONAL</t>
  </si>
  <si>
    <t>P011646</t>
  </si>
  <si>
    <t>ENRIQUE TORRES LLOSA FUNCKE</t>
  </si>
  <si>
    <t>ETORRESLLOSA@BBVA.COM</t>
  </si>
  <si>
    <t>Oficina Barranco</t>
  </si>
  <si>
    <t>P011731</t>
  </si>
  <si>
    <t>VANESSA DORA PRADEL ERAUSQUIN</t>
  </si>
  <si>
    <t>VPRADEL@BBVA.COM</t>
  </si>
  <si>
    <t>Oficina Especial Sedapal</t>
  </si>
  <si>
    <t>P011742</t>
  </si>
  <si>
    <t>GABRIELA DEL CARMEN MARTINEZ VASQUEZ</t>
  </si>
  <si>
    <t>GMARTINEZV@BBVA.COM</t>
  </si>
  <si>
    <t>Oficina Especial Bienestar de la Marina</t>
  </si>
  <si>
    <t>P011900</t>
  </si>
  <si>
    <t>PATRICIA ESCARLET QUISPE WATANABE</t>
  </si>
  <si>
    <t>PQUISPEW@BBVA.COM</t>
  </si>
  <si>
    <t>Oficina La Rambla</t>
  </si>
  <si>
    <t>P011933</t>
  </si>
  <si>
    <t>ANGHIE JACKELINE SOTO RAMIREZ</t>
  </si>
  <si>
    <t>ASOTOR@BBVA.COM</t>
  </si>
  <si>
    <t>Oficina Parque Industrial</t>
  </si>
  <si>
    <t>P011981</t>
  </si>
  <si>
    <t>SANDRA MARLENI CALDAS CORRALES</t>
  </si>
  <si>
    <t>SCALDAS@BBVA.COM</t>
  </si>
  <si>
    <t>Oficina San Martín de Porres</t>
  </si>
  <si>
    <t>P012000</t>
  </si>
  <si>
    <t>CYNTHIA HELENA ZAPATA SCIOLLI</t>
  </si>
  <si>
    <t>CZAPATAS@BBVA.COM</t>
  </si>
  <si>
    <t>BE Chacarilla</t>
  </si>
  <si>
    <t>P012027</t>
  </si>
  <si>
    <t>CARLA LOZANO TORRES</t>
  </si>
  <si>
    <t>CLOZANO@BBVA.COM</t>
  </si>
  <si>
    <t>Oficina Real Plaza Trujillo</t>
  </si>
  <si>
    <t>P012068</t>
  </si>
  <si>
    <t>ALICIA HELIANA GALVEZ GOICOCHEA</t>
  </si>
  <si>
    <t>AGALVEZG@BBVA.COM</t>
  </si>
  <si>
    <t>Oficina Maranga</t>
  </si>
  <si>
    <t>P012153</t>
  </si>
  <si>
    <t>YASMINE CAROLINA ESPEJO COLONE</t>
  </si>
  <si>
    <t>YESPEJO@BBVA.COM</t>
  </si>
  <si>
    <t>Oficina Pucallpa</t>
  </si>
  <si>
    <t>P012199</t>
  </si>
  <si>
    <t>MAYKOL JOHN LUNA VICTORIA BECERRA</t>
  </si>
  <si>
    <t>MLUNAVICTORIA@BBVA.COM</t>
  </si>
  <si>
    <t>Oficina Aramburú</t>
  </si>
  <si>
    <t>P012204</t>
  </si>
  <si>
    <t>LUIS ALBERTO TELLO FALCON</t>
  </si>
  <si>
    <t>LTELLOF@BBVA.COM</t>
  </si>
  <si>
    <t>Oficina Jesus María</t>
  </si>
  <si>
    <t>P012307</t>
  </si>
  <si>
    <t>JAIME RENZO WONG NUÑEZ</t>
  </si>
  <si>
    <t>JWONGN@BBVA.COM</t>
  </si>
  <si>
    <t>Oficina Lima Cargo City</t>
  </si>
  <si>
    <t>P012319</t>
  </si>
  <si>
    <t>NATALI MOSSI ALFARO BUSTAMANTE</t>
  </si>
  <si>
    <t>NATALI@BBVA.COM</t>
  </si>
  <si>
    <t>Oficina Premium El Polo</t>
  </si>
  <si>
    <t>P012331</t>
  </si>
  <si>
    <t>ROBERT ALBERTO MEZONES MERCADO</t>
  </si>
  <si>
    <t>RAMEZONES@BBVA.COM</t>
  </si>
  <si>
    <t>Oficina Santa Mónica</t>
  </si>
  <si>
    <t>P012365</t>
  </si>
  <si>
    <t>FIORELLA GEYSELL MALDONADO ACUÑA</t>
  </si>
  <si>
    <t>FMALDONADO@BBVA.COM</t>
  </si>
  <si>
    <t>Oficina Chincha</t>
  </si>
  <si>
    <t>P012367</t>
  </si>
  <si>
    <t>DANITZA ZAIDA POSTILLON AGUADO</t>
  </si>
  <si>
    <t>DPOSTILLON@BBVA.COM</t>
  </si>
  <si>
    <t>Oficina Pro</t>
  </si>
  <si>
    <t>P012378</t>
  </si>
  <si>
    <t>ANGEL MAX HUERTA GUZMAN</t>
  </si>
  <si>
    <t>AHUERTA@BBVA.COM</t>
  </si>
  <si>
    <t>BE Central</t>
  </si>
  <si>
    <t>DIRECCION</t>
  </si>
  <si>
    <t>CENTRAL</t>
  </si>
  <si>
    <t>P012384</t>
  </si>
  <si>
    <t>ANGELLA ROCIO PASTOR VILLASECA</t>
  </si>
  <si>
    <t>APASTORV@BBVA.COM</t>
  </si>
  <si>
    <t>Oficina Villa Infantas</t>
  </si>
  <si>
    <t>P012391</t>
  </si>
  <si>
    <t>PATRICIA YSABEL SIERRA CRUZATE</t>
  </si>
  <si>
    <t>PSIERRA@BBVA.COM</t>
  </si>
  <si>
    <t>Oficina Lince</t>
  </si>
  <si>
    <t>P012396</t>
  </si>
  <si>
    <t>CARMEN ANGELICA CALDERON YSLA</t>
  </si>
  <si>
    <t>CCALDERONY@BBVA.COM</t>
  </si>
  <si>
    <t>Oficina Comandante Espinar</t>
  </si>
  <si>
    <t>P012479</t>
  </si>
  <si>
    <t>MARIANA GONZALES MENDOZA</t>
  </si>
  <si>
    <t>MGONZALESM@BBVA.COM</t>
  </si>
  <si>
    <t>Oficina Samuel de Alcazar</t>
  </si>
  <si>
    <t>P012508</t>
  </si>
  <si>
    <t>PETER ANDREW ARANDA GUZMAN</t>
  </si>
  <si>
    <t>PARANDA@BBVA.COM</t>
  </si>
  <si>
    <t>Oficina La Floresta</t>
  </si>
  <si>
    <t>P012555</t>
  </si>
  <si>
    <t>CESAR ENRIQUE RUIZ GRILLO</t>
  </si>
  <si>
    <t>CRUIZG@BBVA.COM</t>
  </si>
  <si>
    <t>Oficina Los Rosales</t>
  </si>
  <si>
    <t>P012584</t>
  </si>
  <si>
    <t>JAIR JOAO FERNANDEZ SANDOVAL</t>
  </si>
  <si>
    <t>JJOFERNANDEZ@BBVA.COM</t>
  </si>
  <si>
    <t>Oficina Dos de Mayo</t>
  </si>
  <si>
    <t>P012590</t>
  </si>
  <si>
    <t>ROBERTO ANDRES NAVARRETE CARDENAS</t>
  </si>
  <si>
    <t>RNAVARRETECAR@BBVA.COM</t>
  </si>
  <si>
    <t>Oficina Leguía Chiclayo</t>
  </si>
  <si>
    <t>P012598</t>
  </si>
  <si>
    <t>BETTY VANESSA TORRES CUBAS</t>
  </si>
  <si>
    <t>BTORRESC@BBVA.COM</t>
  </si>
  <si>
    <t>Oficina Lambayeque</t>
  </si>
  <si>
    <t>P012625</t>
  </si>
  <si>
    <t>AYANCELA LEYVA VASQUEZ</t>
  </si>
  <si>
    <t>ALEYVA@BBVA.COM</t>
  </si>
  <si>
    <t>Oficina Primavera</t>
  </si>
  <si>
    <t>P012626</t>
  </si>
  <si>
    <t>ABEL CHRISTIAN TELLO GRANDEZ</t>
  </si>
  <si>
    <t>ATELLO@BBVA.COM</t>
  </si>
  <si>
    <t>Oficina Aeropuerto</t>
  </si>
  <si>
    <t>P012675</t>
  </si>
  <si>
    <t>ROGER CHRISTIAN FUENTES DAVILA AGUILAR</t>
  </si>
  <si>
    <t>RFUENTES-DAVILA@BBVA.COM</t>
  </si>
  <si>
    <t>Oficina La Molina</t>
  </si>
  <si>
    <t>P012753</t>
  </si>
  <si>
    <t>ORLANDO EDUARDO RIVERA ESPINOZA</t>
  </si>
  <si>
    <t>ORIVERA@BBVA.COM</t>
  </si>
  <si>
    <t>Oficina Guardia Chalaca</t>
  </si>
  <si>
    <t>P012763</t>
  </si>
  <si>
    <t>CLAUDIA INES SERRA BRAMON</t>
  </si>
  <si>
    <t>CLAUDIAINES.SERRA@BBVA.COM</t>
  </si>
  <si>
    <t>Oficina C.C. Las Gardenias</t>
  </si>
  <si>
    <t>P012803</t>
  </si>
  <si>
    <t>LAY ARACELY ARENAS CARTY</t>
  </si>
  <si>
    <t>LARENAS@BBVA.COM</t>
  </si>
  <si>
    <t>BE Colonial</t>
  </si>
  <si>
    <t>P012850</t>
  </si>
  <si>
    <t>LUIS GERMAN MENESES RIOS</t>
  </si>
  <si>
    <t>LMENESES@BBVA.COM</t>
  </si>
  <si>
    <t>Oficina Grimaldo del solar</t>
  </si>
  <si>
    <t>P012957</t>
  </si>
  <si>
    <t>SUSAN MAGALY GUZMAN CUEVA</t>
  </si>
  <si>
    <t>SGUZMAN@BBVA.COM</t>
  </si>
  <si>
    <t>Oficina Ovalo 200 Millas</t>
  </si>
  <si>
    <t>P013073</t>
  </si>
  <si>
    <t>RUBEN REYES ACOSTA</t>
  </si>
  <si>
    <t>RREYESA@BBVA.COM</t>
  </si>
  <si>
    <t>Oficina Metro Chilca</t>
  </si>
  <si>
    <t>P013078</t>
  </si>
  <si>
    <t>DEISY PALACIO</t>
  </si>
  <si>
    <t>deisy.palacios@bbva.com</t>
  </si>
  <si>
    <t>Oficina Juanjui</t>
  </si>
  <si>
    <t>P013083</t>
  </si>
  <si>
    <t>DANIEL ALFREDO DEL AGUILA CASTAÑEDA</t>
  </si>
  <si>
    <t>DDELAGUILA@BBVA.COM</t>
  </si>
  <si>
    <t>Oficina Nicolas Arriola 2</t>
  </si>
  <si>
    <t>P013112</t>
  </si>
  <si>
    <t>DIANA ANA CHAVEZ TAPIA</t>
  </si>
  <si>
    <t>DCHAVEZ@BBVA.COM</t>
  </si>
  <si>
    <t>Oficina Venezuela 1</t>
  </si>
  <si>
    <t>P013125</t>
  </si>
  <si>
    <t>GIOVANNY UMPIRE FIGUEROA</t>
  </si>
  <si>
    <t>GUMPIRE@BBVA.COM</t>
  </si>
  <si>
    <t>Oficina El Tambo</t>
  </si>
  <si>
    <t>P013132</t>
  </si>
  <si>
    <t>LIZETH NANCY AQUINO LOPEZ</t>
  </si>
  <si>
    <t>LAQUINO@BBVA.COM</t>
  </si>
  <si>
    <t>Oficina La Marina</t>
  </si>
  <si>
    <t>P013150</t>
  </si>
  <si>
    <t>JULIO CESAR DIAZ CALDERON</t>
  </si>
  <si>
    <t>JDIAZC@BBVA.COM</t>
  </si>
  <si>
    <t>Oficina C.C. Canta Callao</t>
  </si>
  <si>
    <t>P013233</t>
  </si>
  <si>
    <t>ELIZABETH ROSALIN CHINCHAY CAMPOS</t>
  </si>
  <si>
    <t>ECHINCHAY@BBVA.COM</t>
  </si>
  <si>
    <t>ADM. REGIONAL BE 1</t>
  </si>
  <si>
    <t>P013260</t>
  </si>
  <si>
    <t>VICTOR JUAN MONTERO FLORES</t>
  </si>
  <si>
    <t>VMONTERO@BBVA.COM</t>
  </si>
  <si>
    <t>Oficina 7 de Junio</t>
  </si>
  <si>
    <t>P013283</t>
  </si>
  <si>
    <t>ROQUE GUTIERREZ GONZALES</t>
  </si>
  <si>
    <t>RGUTIERREZG@BBVA.COM</t>
  </si>
  <si>
    <t>Oficina Plaza Butters</t>
  </si>
  <si>
    <t>P013288</t>
  </si>
  <si>
    <t>KATHERINE GUISSELLA MEDINA PARIONA</t>
  </si>
  <si>
    <t>KMEDINA@BBVA.COM</t>
  </si>
  <si>
    <t>Oficina Lurín</t>
  </si>
  <si>
    <t>P013322</t>
  </si>
  <si>
    <t>DENISSE CYNTHIA SALINAS ONCEBAY</t>
  </si>
  <si>
    <t>DSALINAS@BBVA.COM</t>
  </si>
  <si>
    <t>Oficina Pardo</t>
  </si>
  <si>
    <t>Gerencia Territorial Miraflores</t>
  </si>
  <si>
    <t>P013330</t>
  </si>
  <si>
    <t>MIGUEL ANGEL ARAUJO VELA</t>
  </si>
  <si>
    <t>MARAUJO@BBVA.COM</t>
  </si>
  <si>
    <t>Oficina Real Plaza Pro</t>
  </si>
  <si>
    <t>P013354</t>
  </si>
  <si>
    <t>SARITA DEL ROSARIO PINEDA OYOLA</t>
  </si>
  <si>
    <t>SPINEDA@BBVA.COM</t>
  </si>
  <si>
    <t>Oficina Santa Cruz</t>
  </si>
  <si>
    <t>P013441</t>
  </si>
  <si>
    <t>RICHARD ANTONIO GARCIA MOSCOSO</t>
  </si>
  <si>
    <t>RGARCIAM@BBVA.COM</t>
  </si>
  <si>
    <t>Oficina Fiori</t>
  </si>
  <si>
    <t>P013470</t>
  </si>
  <si>
    <t>CAROL DIANA MEDINA SANCHEZ</t>
  </si>
  <si>
    <t>CMEDINAS@BBVA.COM</t>
  </si>
  <si>
    <t>Oficina Faucett 2</t>
  </si>
  <si>
    <t>P013542</t>
  </si>
  <si>
    <t>DAVID ALEJANDRO DIEZ CANSECO NORIEGA</t>
  </si>
  <si>
    <t>DDIEZ@BBVA.COM</t>
  </si>
  <si>
    <t>Of. Parque Industrial Villa el Salvador</t>
  </si>
  <si>
    <t>P013580</t>
  </si>
  <si>
    <t>OSCAR GABRIEL GARCIA TRIGO</t>
  </si>
  <si>
    <t>OGARCIAT@BBVA.COM</t>
  </si>
  <si>
    <t>Oficina Ovalo Quiñonez</t>
  </si>
  <si>
    <t>P013588</t>
  </si>
  <si>
    <t>KIMBERLY SULLYVAN ASMAT MAYAUTE</t>
  </si>
  <si>
    <t>KASMAT@BBVA.COM</t>
  </si>
  <si>
    <t>Especial Open Plaza Chiclayo</t>
  </si>
  <si>
    <t>P013599</t>
  </si>
  <si>
    <t>KARINA DEL ROSARIO ARICOCHE RAMIREZ</t>
  </si>
  <si>
    <t>KARICOCHE@BBVA.COM</t>
  </si>
  <si>
    <t>Oficina Chepén</t>
  </si>
  <si>
    <t>P013600</t>
  </si>
  <si>
    <t>ALFREDO ENRRIQUE BALLESTEROS MACO</t>
  </si>
  <si>
    <t>ABALLESTEROS@BBVA.COM</t>
  </si>
  <si>
    <t>Oficina Especial Real Plaza Chiclayo</t>
  </si>
  <si>
    <t>P013601</t>
  </si>
  <si>
    <t>GLORIA CECILIA DEL CARMEN CASTILLO QUEREBALU</t>
  </si>
  <si>
    <t>GCASTILLOQ@BBVA.COM</t>
  </si>
  <si>
    <t>Oficina Pacasmayo</t>
  </si>
  <si>
    <t>P013655</t>
  </si>
  <si>
    <t>MARCO ANTONIO FALLA CHUNGA</t>
  </si>
  <si>
    <t>MFALLA@BBVA.COM</t>
  </si>
  <si>
    <t>Oficina Venezuela 3</t>
  </si>
  <si>
    <t>P013696</t>
  </si>
  <si>
    <t>URSULA CINTHIA GALLEGOS HERRERA</t>
  </si>
  <si>
    <t>UGALLEGOS@BBVA.COM</t>
  </si>
  <si>
    <t>Oficina Los Alamos</t>
  </si>
  <si>
    <t>P013697</t>
  </si>
  <si>
    <t>JORGE ALONSO GRANDEZ ORTEGA</t>
  </si>
  <si>
    <t>JGRANDEZO@BBVA.COM</t>
  </si>
  <si>
    <t>Oficina Bolivar</t>
  </si>
  <si>
    <t>P013800</t>
  </si>
  <si>
    <t>MARIA DEL CARMEN PALOMARES HUASIPOMA</t>
  </si>
  <si>
    <t>MPALOMARES@BBVA.COM</t>
  </si>
  <si>
    <t>Oficina Las Tiendas</t>
  </si>
  <si>
    <t>P014171</t>
  </si>
  <si>
    <t>SERGIO DANIEL SALDAÑA TEIXEIRA</t>
  </si>
  <si>
    <t>SDSALDANA@BBVA.COM</t>
  </si>
  <si>
    <t>Oficina Parque de la amistad</t>
  </si>
  <si>
    <t>P014173</t>
  </si>
  <si>
    <t>PATRICK ALFREDO SIMBORTH CABANILLAS</t>
  </si>
  <si>
    <t>PSIMBORTH@BBVA.COM</t>
  </si>
  <si>
    <t>Oficina Cuartel General del Ejercito</t>
  </si>
  <si>
    <t>P014175</t>
  </si>
  <si>
    <t>SINDY GRACIELA VARGAS SERVAN</t>
  </si>
  <si>
    <t>SGVARGAS@BBVA.COM</t>
  </si>
  <si>
    <t>Oficina Barranca</t>
  </si>
  <si>
    <t>P014190</t>
  </si>
  <si>
    <t>ELOY PEREZ INFANTE</t>
  </si>
  <si>
    <t>EPEREZI@BBVA.COM</t>
  </si>
  <si>
    <t>Oficina C.C. Sucre</t>
  </si>
  <si>
    <t>P014343</t>
  </si>
  <si>
    <t>MAYRA GONZALES LING</t>
  </si>
  <si>
    <t>M.GONZALESL@BBVA.COM</t>
  </si>
  <si>
    <t>Oficina Yurimaguas</t>
  </si>
  <si>
    <t>P014362</t>
  </si>
  <si>
    <t>CARLOS FERNANDO MARQUEZ CUBAS</t>
  </si>
  <si>
    <t>CFMARQUEZ@BBVA.COM</t>
  </si>
  <si>
    <t>Oficina Faucett</t>
  </si>
  <si>
    <t>P014378</t>
  </si>
  <si>
    <t>VICTOR RENATO BARZOLA CASTRO</t>
  </si>
  <si>
    <t>VRBARZOLA@BBVA.COM</t>
  </si>
  <si>
    <t>Oficina Backus</t>
  </si>
  <si>
    <t>P014531</t>
  </si>
  <si>
    <t>NATHALY LIZETH ALLENDE GARCIA</t>
  </si>
  <si>
    <t>NALLENDE@BBVA.COM</t>
  </si>
  <si>
    <t>Oficina Ventanilla</t>
  </si>
  <si>
    <t>P014551</t>
  </si>
  <si>
    <t>MIGUEL ANGEL DONAYRE MESIAS</t>
  </si>
  <si>
    <t>MDONAYRE@BBVA.COM</t>
  </si>
  <si>
    <t>Oficina Cañete</t>
  </si>
  <si>
    <t>P014561</t>
  </si>
  <si>
    <t>ANA GLORIA ZEGARRA ALIAGA</t>
  </si>
  <si>
    <t>AGZEGARRA@BBVA.COM</t>
  </si>
  <si>
    <t>Oficina Ica</t>
  </si>
  <si>
    <t>P014563</t>
  </si>
  <si>
    <t>DIANA CAROLINA CANALES BONIFAZ</t>
  </si>
  <si>
    <t>DCANALES@BBVA.COM</t>
  </si>
  <si>
    <t>Oficina Ceres</t>
  </si>
  <si>
    <t>P014593</t>
  </si>
  <si>
    <t>KATHERIN PATRICIA CAHUAS VALLE</t>
  </si>
  <si>
    <t>KCAHUAS@BBVA.COM</t>
  </si>
  <si>
    <t>Oficina Lima</t>
  </si>
  <si>
    <t>P014735</t>
  </si>
  <si>
    <t>DIANA LIZET DELGADO PEREZ</t>
  </si>
  <si>
    <t>DIANA.DELGADOP@BBVA.COM</t>
  </si>
  <si>
    <t>Oficina El Olivar</t>
  </si>
  <si>
    <t>P014769</t>
  </si>
  <si>
    <t>CYNTHIA IVETTE MIRANDA FUENTES</t>
  </si>
  <si>
    <t>CIMIRANDA@BBVA.COM</t>
  </si>
  <si>
    <t>Oficina Universidad Católica</t>
  </si>
  <si>
    <t>P014772</t>
  </si>
  <si>
    <t>OSCAR NESTOR BAHAMONDE HIDALGO</t>
  </si>
  <si>
    <t>OBAHAMONDE@BBVA.COM</t>
  </si>
  <si>
    <t>Oficina Ovalo Papal</t>
  </si>
  <si>
    <t>P014818</t>
  </si>
  <si>
    <t>VIVIANA VANESSA ORDOÑEZ VILLAVICENCIO</t>
  </si>
  <si>
    <t>VORDONEZ@BBVA.COM</t>
  </si>
  <si>
    <t>Oficina C.C. Monterrico</t>
  </si>
  <si>
    <t>P014826</t>
  </si>
  <si>
    <t>JHONY ALBERTO AREVALO TORREJON</t>
  </si>
  <si>
    <t>JAREVALO@BBVA.COM</t>
  </si>
  <si>
    <t>Oficina Orrantia</t>
  </si>
  <si>
    <t>P014906</t>
  </si>
  <si>
    <t>DANIEL GUSTAVO SANTOS HIYO</t>
  </si>
  <si>
    <t>DSANTOS@BBVA.COM</t>
  </si>
  <si>
    <t>Oficina Comas</t>
  </si>
  <si>
    <t>P014938</t>
  </si>
  <si>
    <t>VERONICA MILAGROS GORDILLO CORDOVA</t>
  </si>
  <si>
    <t>VGORDILLO@BBVA.COM</t>
  </si>
  <si>
    <t>Oficina Izaguirre</t>
  </si>
  <si>
    <t>P014940</t>
  </si>
  <si>
    <t>DALMA NEREA LAZARTE ARICA</t>
  </si>
  <si>
    <t>DLAZARTE@BBVA.COM</t>
  </si>
  <si>
    <t>Oficina Puente Piedra</t>
  </si>
  <si>
    <t>P015039</t>
  </si>
  <si>
    <t>CINTHIA LIZBET LOPEZ MELENDEZ</t>
  </si>
  <si>
    <t>CLOPEZ@BBVA.COM</t>
  </si>
  <si>
    <t>Oficina El Trebol</t>
  </si>
  <si>
    <t>P015048</t>
  </si>
  <si>
    <t>MARLON QUEREVALU ALCEDO</t>
  </si>
  <si>
    <t>MQUEREVALU@BBVA.COM</t>
  </si>
  <si>
    <t>Oficina Camana</t>
  </si>
  <si>
    <t>P015064</t>
  </si>
  <si>
    <t>CLAUDIA LIZBETH VALLADARES CASALLO</t>
  </si>
  <si>
    <t>CVALLADARES@BBVA.COM</t>
  </si>
  <si>
    <t>Oficina Mega Express Villa El Salvador</t>
  </si>
  <si>
    <t>P015072</t>
  </si>
  <si>
    <t>NATALIE ELIZABETH GANOZA HONORES</t>
  </si>
  <si>
    <t>NGANOZA@BBVA.COM</t>
  </si>
  <si>
    <t>Oficina Separadora Industrial</t>
  </si>
  <si>
    <t>P015146</t>
  </si>
  <si>
    <t>KARINA MELISSA LLOSA EGOAVIL</t>
  </si>
  <si>
    <t>KLLOSA@BBVA.COM</t>
  </si>
  <si>
    <t>Oficina San Martin - Ica</t>
  </si>
  <si>
    <t>P015154</t>
  </si>
  <si>
    <t>DIANA MARIBEL CCOICCA VENEGAS</t>
  </si>
  <si>
    <t>DCCOICCA@BBVA.COM</t>
  </si>
  <si>
    <t>Oficina Tumbes</t>
  </si>
  <si>
    <t>P015274</t>
  </si>
  <si>
    <t>KARINA LIZBETH ACOSTA AGUIRRE</t>
  </si>
  <si>
    <t>KACOSTA@BBVA.COM</t>
  </si>
  <si>
    <t>Oficina Ovalo Miraflores</t>
  </si>
  <si>
    <t>P015297</t>
  </si>
  <si>
    <t>LUIS ALBERTO BARTRA AGUILAR</t>
  </si>
  <si>
    <t>LBARTRA@BBVA.COM</t>
  </si>
  <si>
    <t>Oficina Colonial</t>
  </si>
  <si>
    <t>P015312</t>
  </si>
  <si>
    <t>MAYRA YESENIA PELAEZ ALIAGA</t>
  </si>
  <si>
    <t>MPELAEZ@BBVA.COM</t>
  </si>
  <si>
    <t>Oficina Salaverry</t>
  </si>
  <si>
    <t>P015370</t>
  </si>
  <si>
    <t>VICTOR JOSEPH ZOROGASTUA MORALES</t>
  </si>
  <si>
    <t>VZOROGASTUA@BBVA.COM</t>
  </si>
  <si>
    <t>Oficina Strip Center Barranca</t>
  </si>
  <si>
    <t>P015441</t>
  </si>
  <si>
    <t>ROXANA ELIZABETH ISLA BERNAL</t>
  </si>
  <si>
    <t>RISLA@BBVA.COM</t>
  </si>
  <si>
    <t>Oficina Real Plaza Centro Cívico</t>
  </si>
  <si>
    <t>P015443</t>
  </si>
  <si>
    <t>MELISSA ESPERANZA MALDONADO CAMPOS</t>
  </si>
  <si>
    <t>MELISSA.MALDONADOC@BBVA.COM</t>
  </si>
  <si>
    <t>Oficina San Felipe</t>
  </si>
  <si>
    <t>P015525</t>
  </si>
  <si>
    <t>JOSE LUIS GOICOCHEA SANDOVAL</t>
  </si>
  <si>
    <t>JGOICOCHEA@BBVA.COM</t>
  </si>
  <si>
    <t>Oficina Carabayllo</t>
  </si>
  <si>
    <t>P015616</t>
  </si>
  <si>
    <t>DIANA ISABEL LLACSAHUACHE TANTA</t>
  </si>
  <si>
    <t>DLLACSAHUACHE@BBVA.COM</t>
  </si>
  <si>
    <t>Oficina Avenida Peru</t>
  </si>
  <si>
    <t>Gerencia Territorial Callao San Miguel</t>
  </si>
  <si>
    <t>P015706</t>
  </si>
  <si>
    <t>CARLOS ALBERTO ORTIZ HURTADO</t>
  </si>
  <si>
    <t>CAORTIZ@BBVA.COM</t>
  </si>
  <si>
    <t>Oficina Mall Aventura Plaza Callao</t>
  </si>
  <si>
    <t>P015730</t>
  </si>
  <si>
    <t>JIMMY SANCHEZ PRADA</t>
  </si>
  <si>
    <t>JIMMY.SANCHEZ.PRADA@BBVA.COM</t>
  </si>
  <si>
    <t>Oficina Av. Del Ejército</t>
  </si>
  <si>
    <t>P015732</t>
  </si>
  <si>
    <t>MARILYN MATILDE MOREANO ARIAS</t>
  </si>
  <si>
    <t>MMOREANO@BBVA.COM</t>
  </si>
  <si>
    <t>Oficina Rinconada</t>
  </si>
  <si>
    <t>P015741</t>
  </si>
  <si>
    <t>EVELYN ARIAS REYES</t>
  </si>
  <si>
    <t>EARIAS@BBVA.COM</t>
  </si>
  <si>
    <t>Oficina La Merced</t>
  </si>
  <si>
    <t>P015851</t>
  </si>
  <si>
    <t>JOHN CESAR CAÑARI BOGO</t>
  </si>
  <si>
    <t>JCANARI@BBVA.COM</t>
  </si>
  <si>
    <t>Oficina Villa Marina</t>
  </si>
  <si>
    <t>P015880</t>
  </si>
  <si>
    <t>DAFNE CRISTINA DE LA PUENTE CORTEZ</t>
  </si>
  <si>
    <t>DDELAPUENTE@BBVA.COM</t>
  </si>
  <si>
    <t>Oficina Canada la Rosa Toro</t>
  </si>
  <si>
    <t>P016027</t>
  </si>
  <si>
    <t>MARIO JAVIER UCEDA DEL RIO</t>
  </si>
  <si>
    <t>MUCEDA@BBVA.COM</t>
  </si>
  <si>
    <t>Oficina C.C. Real Plaza Huancayo</t>
  </si>
  <si>
    <t>P016109</t>
  </si>
  <si>
    <t>MICHAEL EDUARDO LEON ENRIQUE</t>
  </si>
  <si>
    <t>MELEON@BBVA.COM</t>
  </si>
  <si>
    <t>Oficina Paseo de la Castellana</t>
  </si>
  <si>
    <t>P016189</t>
  </si>
  <si>
    <t>MIRTHA MIA ALEMAN TAVARA</t>
  </si>
  <si>
    <t>MALEMAN@BBVA.COM</t>
  </si>
  <si>
    <t>Oficina Callao</t>
  </si>
  <si>
    <t>P016194</t>
  </si>
  <si>
    <t>GONZALO DANIEL DE SOTO ODRIA</t>
  </si>
  <si>
    <t>GDESOTO@BBVA.COM</t>
  </si>
  <si>
    <t>Oficina Mega Plaza</t>
  </si>
  <si>
    <t>P016331</t>
  </si>
  <si>
    <t>MARTHA ANGELA VALDERRAMA RAMIREZ</t>
  </si>
  <si>
    <t>MVALDERRAMA@BBVA.COM</t>
  </si>
  <si>
    <t>Oficina Plaza Lima Norte</t>
  </si>
  <si>
    <t>P016383</t>
  </si>
  <si>
    <t>JULIO CESAR DELGADO GARRIDO</t>
  </si>
  <si>
    <t>JCDELGADO@BBVA.COM</t>
  </si>
  <si>
    <t>Oficina Mexico</t>
  </si>
  <si>
    <t>P016385</t>
  </si>
  <si>
    <t>FABIOLA MARIA BERNAOLA CAYO</t>
  </si>
  <si>
    <t>FBERNAOLA@BBVA.COM</t>
  </si>
  <si>
    <t>Oficina Tomas Marsano</t>
  </si>
  <si>
    <t>P016430</t>
  </si>
  <si>
    <t>GIANCARLO VILCHEZ SUAREZ</t>
  </si>
  <si>
    <t>GVILCHEZ@BBVA.COM</t>
  </si>
  <si>
    <t>Oficina Ayacucho</t>
  </si>
  <si>
    <t>P016448</t>
  </si>
  <si>
    <t>OLGA FIORELA PAITAN GONZALES</t>
  </si>
  <si>
    <t>OPAITAN@BBVA.COM</t>
  </si>
  <si>
    <t>Oficina Las Flores</t>
  </si>
  <si>
    <t>P016582</t>
  </si>
  <si>
    <t>JOHANA CECILIA VASQUEZ ARIAS</t>
  </si>
  <si>
    <t>JVASQUEZA@BBVA.COM</t>
  </si>
  <si>
    <t>Oficina Paita</t>
  </si>
  <si>
    <t>P016746</t>
  </si>
  <si>
    <t>ROBERTO ANTONIO CALVO RIVAS</t>
  </si>
  <si>
    <t>RCALVO@BBVA.COM</t>
  </si>
  <si>
    <t>Oficina Puno</t>
  </si>
  <si>
    <t>P016887</t>
  </si>
  <si>
    <t>DUANNY PAOLA QUEQUESANA AMAT</t>
  </si>
  <si>
    <t>DQUEQUESANA@BBVA.COM</t>
  </si>
  <si>
    <t>Oficina Real Plaza Juliaca</t>
  </si>
  <si>
    <t>P016891</t>
  </si>
  <si>
    <t>ROBERTO CARLOS BEJARANO ALVAREZ</t>
  </si>
  <si>
    <t>RBEJARANO@BBVA.COM</t>
  </si>
  <si>
    <t>Oficina Velasco Astete</t>
  </si>
  <si>
    <t>P016908</t>
  </si>
  <si>
    <t>BRENDY NOEMI JIMENEZ RIVERA</t>
  </si>
  <si>
    <t>BJIMENEZ@BBVA.COM</t>
  </si>
  <si>
    <t>Oficina La Oroya</t>
  </si>
  <si>
    <t>P016918</t>
  </si>
  <si>
    <t>LIZ KAREN CONDOR AMARO</t>
  </si>
  <si>
    <t>LCONDOR@BBVA.COM</t>
  </si>
  <si>
    <t>Oficina C.C. Atocongo</t>
  </si>
  <si>
    <t>P016929</t>
  </si>
  <si>
    <t>SANDRA MARIEL CHAVEZ CASANOVA</t>
  </si>
  <si>
    <t>SCHAVEZ@BBVA.COM</t>
  </si>
  <si>
    <t>Oficina El pedregal</t>
  </si>
  <si>
    <t>P017016</t>
  </si>
  <si>
    <t>JOSUE GABRIEL CARNERO PRADO</t>
  </si>
  <si>
    <t>JCARNERO@BBVA.COM</t>
  </si>
  <si>
    <t>Oficina Valle Sharon</t>
  </si>
  <si>
    <t>P017037</t>
  </si>
  <si>
    <t>IVETTE MIRELLA CHOQUEHUANCA LEYVA</t>
  </si>
  <si>
    <t>ICHOQUEHUANCA@BBVA.COM</t>
  </si>
  <si>
    <t>Oficina Breña</t>
  </si>
  <si>
    <t>P017045</t>
  </si>
  <si>
    <t>MIGUEL EDUARDO CALVO ZAMBRANO</t>
  </si>
  <si>
    <t>MIGUEL.CALVOZ@BBVA.COM</t>
  </si>
  <si>
    <t>Oficina Club Regatas Lima</t>
  </si>
  <si>
    <t>P017054</t>
  </si>
  <si>
    <t>CLAUDIA INES VALDIVIEZO LIZARRAGA</t>
  </si>
  <si>
    <t>CVALDIVIEZO@BBVA.COM</t>
  </si>
  <si>
    <t>Oficina Caminos del Inca</t>
  </si>
  <si>
    <t>P017114</t>
  </si>
  <si>
    <t>ADOLFO GIANFRANCO SEGIL SANTAMARIA</t>
  </si>
  <si>
    <t>ASEGIL@BBVA.COM</t>
  </si>
  <si>
    <t>Oficina Metro Santa Elena</t>
  </si>
  <si>
    <t>P017136</t>
  </si>
  <si>
    <t>SANDRA DEL ROCIO DEL CASTILLO VASQUEZ</t>
  </si>
  <si>
    <t>SDELCASTILLO@BBVA.COM</t>
  </si>
  <si>
    <t>Oficina Belén</t>
  </si>
  <si>
    <t>P017201</t>
  </si>
  <si>
    <t>IRIS DEL PILAR ROJAS OCHOA</t>
  </si>
  <si>
    <t>IROJASO@BBVA.COM</t>
  </si>
  <si>
    <t>Oficina Real Plaza Salaverry</t>
  </si>
  <si>
    <t>P017217</t>
  </si>
  <si>
    <t>SHEILA KATHERYN POSTIGO VALLES</t>
  </si>
  <si>
    <t>SPOSTIGO@BBVA.COM</t>
  </si>
  <si>
    <t>Oficina Open Plaza Pucallpa</t>
  </si>
  <si>
    <t>P017226</t>
  </si>
  <si>
    <t>CRISTHIAN ANDREE ELESCANO CAMAC</t>
  </si>
  <si>
    <t>CELESCANO@BBVA.COM</t>
  </si>
  <si>
    <t>Oficina Wanchaq</t>
  </si>
  <si>
    <t>P017258</t>
  </si>
  <si>
    <t>ALEX MARTIN GUTIERREZ COSTA</t>
  </si>
  <si>
    <t>AGUTIERREZ@BBVA.COM</t>
  </si>
  <si>
    <t>Oficina Chosica</t>
  </si>
  <si>
    <t>P017274</t>
  </si>
  <si>
    <t>EVELYN JACINTA MEZA VEGA</t>
  </si>
  <si>
    <t>EMEZAV@BBVA.COM</t>
  </si>
  <si>
    <t>Oficina Vargas Machuca</t>
  </si>
  <si>
    <t>P017302</t>
  </si>
  <si>
    <t>KEVIN VINCENT RODRIGUEZ ZEGARRA</t>
  </si>
  <si>
    <t>KVRODRIGUEZ@BBVA.COM</t>
  </si>
  <si>
    <t>Oficina V.A.Belaunde</t>
  </si>
  <si>
    <t>P017308</t>
  </si>
  <si>
    <t>ABRAHAM EDUARDO LOPEZ SUAREZ</t>
  </si>
  <si>
    <t>ABRAHAM.LOPEZS@BBVA.COM</t>
  </si>
  <si>
    <t>Oficina Angamos Open Plaza</t>
  </si>
  <si>
    <t>P017309</t>
  </si>
  <si>
    <t>MARCELO RUBEN YEPES LUNA</t>
  </si>
  <si>
    <t>MYEPES@BBVA.COM</t>
  </si>
  <si>
    <t>Oficina El Quinde</t>
  </si>
  <si>
    <t>P017715</t>
  </si>
  <si>
    <t>ROBERTH ANTONY TANTALEAN ORTIZ</t>
  </si>
  <si>
    <t>RTANTALEAN@BBVA.COM</t>
  </si>
  <si>
    <t>Oficina Chama</t>
  </si>
  <si>
    <t>P017786</t>
  </si>
  <si>
    <t>MARTIN YACTAYO CASTILLA</t>
  </si>
  <si>
    <t>MYACTAYO@BBVA.COM</t>
  </si>
  <si>
    <t>Oficina Venezuela 2</t>
  </si>
  <si>
    <t>P017790</t>
  </si>
  <si>
    <t>BRUNO CASUSOL CAVERO</t>
  </si>
  <si>
    <t>BCASUSOL@BBVA.COM</t>
  </si>
  <si>
    <t>Oficina Mall Aventura Plaza Santa Anita</t>
  </si>
  <si>
    <t>P017812</t>
  </si>
  <si>
    <t>MARIA DEL CARMEN TARAZONA BUENO</t>
  </si>
  <si>
    <t>MTARAZONA@BBVA.COM</t>
  </si>
  <si>
    <t>Oficina Universitaria Freire</t>
  </si>
  <si>
    <t>P017864</t>
  </si>
  <si>
    <t>PIERINA SOLASH VALENCIA BOGGIO</t>
  </si>
  <si>
    <t>PVALENCIA@BBVA.COM</t>
  </si>
  <si>
    <t>Oficina Zárate</t>
  </si>
  <si>
    <t>P017890</t>
  </si>
  <si>
    <t>MILAGROS ISABEL CHAMBI CUADROS</t>
  </si>
  <si>
    <t>MCHAMBI@BBVA.COM</t>
  </si>
  <si>
    <t>Oficina Tintaya</t>
  </si>
  <si>
    <t>P017929</t>
  </si>
  <si>
    <t>JOSE ANGEL BOBADILLA ALAGON</t>
  </si>
  <si>
    <t>JBOBADILLA@BBVA.COM</t>
  </si>
  <si>
    <t>Oficina El Agustino</t>
  </si>
  <si>
    <t>P017951</t>
  </si>
  <si>
    <t>EDWARD ARTURO TABOADA CANCHIS</t>
  </si>
  <si>
    <t>ETABOADA@BBVA.COM</t>
  </si>
  <si>
    <t>BE Cusco</t>
  </si>
  <si>
    <t>P017954</t>
  </si>
  <si>
    <t>VARINIA APOLONIA SOSA SAAVEDRA</t>
  </si>
  <si>
    <t>VSOSA@BBVA.COM</t>
  </si>
  <si>
    <t>Oficina Cerro de Pasco</t>
  </si>
  <si>
    <t>P018019</t>
  </si>
  <si>
    <t>EDSON OLAZO FRANCO</t>
  </si>
  <si>
    <t>EOLAZO@BBVA.COM</t>
  </si>
  <si>
    <t>Oficina Monte Grande</t>
  </si>
  <si>
    <t>P018173</t>
  </si>
  <si>
    <t>CARLOS SCOTT BARRIENTOS CASTAÑEDA</t>
  </si>
  <si>
    <t>CBARRIENTOSC@BBVA.COM</t>
  </si>
  <si>
    <t>Oficina Minka</t>
  </si>
  <si>
    <t>P018179</t>
  </si>
  <si>
    <t>HANS GONZALO ALMONACID RIOS</t>
  </si>
  <si>
    <t>HALMONACIDR@BBVA.COM</t>
  </si>
  <si>
    <t>Oficina Sebastian Barranca</t>
  </si>
  <si>
    <t>P018248</t>
  </si>
  <si>
    <t>ELVIRA CHAVEZ TORRES</t>
  </si>
  <si>
    <t>ECHAVEZT@BBVA.COM</t>
  </si>
  <si>
    <t>Oficina El Retablo</t>
  </si>
  <si>
    <t>P018270</t>
  </si>
  <si>
    <t>LUIS FELIPE VALENCIA CHAVEZ</t>
  </si>
  <si>
    <t>LVALENCIAC@BBVA.COM</t>
  </si>
  <si>
    <t>Oficina Plaza San José</t>
  </si>
  <si>
    <t>P018272</t>
  </si>
  <si>
    <t>JHORDAN JERSON VEGA LIZARBE</t>
  </si>
  <si>
    <t>JVEGAL@BBVA.COM</t>
  </si>
  <si>
    <t>Oficina Canaval Moreyra</t>
  </si>
  <si>
    <t>P018652</t>
  </si>
  <si>
    <t>WENDY YORDAN ARIAS CHOLAN</t>
  </si>
  <si>
    <t>WARIASCH@BBVA.COM</t>
  </si>
  <si>
    <t>Oficina Especial DP World</t>
  </si>
  <si>
    <t>P018665</t>
  </si>
  <si>
    <t>DAVID JESUS MALAGA MONCADA</t>
  </si>
  <si>
    <t>DMALAGA@BBVA.COM</t>
  </si>
  <si>
    <t>Oficina Vitarte</t>
  </si>
  <si>
    <t>P018785</t>
  </si>
  <si>
    <t>MARIBEL HILDA AYQUIPA RAMOS</t>
  </si>
  <si>
    <t>MAYQUIPAR@BBVA.COM</t>
  </si>
  <si>
    <t>ADM. REGIONAL BE 2</t>
  </si>
  <si>
    <t>P018929</t>
  </si>
  <si>
    <t>ANTONIO JIMENEZ ROSA</t>
  </si>
  <si>
    <t>ANTONIO.JIMENEZ@BBVA.COM</t>
  </si>
  <si>
    <t>Oficina Puerto Maldonado</t>
  </si>
  <si>
    <t>P019158</t>
  </si>
  <si>
    <t>JUAN CARLOS BONTEMPS HERNANDEZ</t>
  </si>
  <si>
    <t>JBONTEMPS@BBVA.COM</t>
  </si>
  <si>
    <t>Oficina Plaza Bolognesi</t>
  </si>
  <si>
    <t>P019175</t>
  </si>
  <si>
    <t>MIGUEL ANGEL PAREDES QUISPE</t>
  </si>
  <si>
    <t>MPAREDESQ@BBVA.COM</t>
  </si>
  <si>
    <t>Oficina 28 de Julio - Lima</t>
  </si>
  <si>
    <t>P019270</t>
  </si>
  <si>
    <t>MARIBEL STEFANY GALVEZ ZAPATA</t>
  </si>
  <si>
    <t>MSGALVEZ@BBVA.COM</t>
  </si>
  <si>
    <t>Oficina Canto Grande</t>
  </si>
  <si>
    <t>P019339</t>
  </si>
  <si>
    <t>ALFONZO DANILO ACERO MUÑOZ</t>
  </si>
  <si>
    <t>AACERO@BBVA.COM</t>
  </si>
  <si>
    <t>Oficina Apolo</t>
  </si>
  <si>
    <t>P019485</t>
  </si>
  <si>
    <t>NAYSHA KORIN KONJA CORDERO</t>
  </si>
  <si>
    <t>mercedes.torres.medina@bbva.com</t>
  </si>
  <si>
    <t>Oficina Surquillo</t>
  </si>
  <si>
    <t>P019544</t>
  </si>
  <si>
    <t>ROSARIO ISABEL VALDIVIESO ZUÑE</t>
  </si>
  <si>
    <t>ROSARIO.VALDIVIESO@BBVA.COM</t>
  </si>
  <si>
    <t>Oficina Covida</t>
  </si>
  <si>
    <t>P019561</t>
  </si>
  <si>
    <t>DEYBE YACOLCA CANTA</t>
  </si>
  <si>
    <t>DEYBE.YACOLCA@BBVA.COM</t>
  </si>
  <si>
    <t>Oficina Ovalo Larco Trujillo</t>
  </si>
  <si>
    <t>P019738</t>
  </si>
  <si>
    <t>YONY HERNAN DIAZ BUSTAMANTE</t>
  </si>
  <si>
    <t>YONY.DIAZ@BBVA.COM</t>
  </si>
  <si>
    <t>Oficina República de Panamá</t>
  </si>
  <si>
    <t>P019923</t>
  </si>
  <si>
    <t>RICHARD IVAN SERRANO VASQUEZ</t>
  </si>
  <si>
    <t>RICHARD.SERRANO@BBVA.COM</t>
  </si>
  <si>
    <t>Oficina San Borja Sur</t>
  </si>
  <si>
    <t>P020086</t>
  </si>
  <si>
    <t>NESTOR EDUARDO ROJAS BURGA</t>
  </si>
  <si>
    <t>NESTOR.ROJAS@BBVA.COM</t>
  </si>
  <si>
    <t>Oficina Andahuaylas</t>
  </si>
  <si>
    <t>P020278</t>
  </si>
  <si>
    <t>LIZ DEYSI VIERA VEGA</t>
  </si>
  <si>
    <t>LIZ.VIERA@BBVA.COM</t>
  </si>
  <si>
    <t>Oficina Pichanaqui</t>
  </si>
  <si>
    <t>P020827</t>
  </si>
  <si>
    <t>DIEGO OSVALDO LAGONES DAVILA</t>
  </si>
  <si>
    <t>DIEGO.LAGONES@BBVA.COM</t>
  </si>
  <si>
    <t>Oficina Parinacochas</t>
  </si>
  <si>
    <t>P020914</t>
  </si>
  <si>
    <t>MARIA FERNANDA RODRIGUEZ ESPINOZA</t>
  </si>
  <si>
    <t>laly.ortiz@bbva.com</t>
  </si>
  <si>
    <t>Oficina Basadre</t>
  </si>
  <si>
    <t>P020922</t>
  </si>
  <si>
    <t>ROBERTH EDUARDO VALDERRAMA CABRERA</t>
  </si>
  <si>
    <t>ROBERTH.VALDERRAMA@BBVA.COM</t>
  </si>
  <si>
    <t>P021026</t>
  </si>
  <si>
    <t>SHASHA RAMIREZ PINEDO</t>
  </si>
  <si>
    <t>SHASHA.RAMIREZ@BBVA.COM</t>
  </si>
  <si>
    <t>Oficina Gran Chimú</t>
  </si>
  <si>
    <t>P021068</t>
  </si>
  <si>
    <t>LUIS RUDEK TAPAHUASCO PEREZ</t>
  </si>
  <si>
    <t>LUIS.TAPAHUASCO@BBVA.COM</t>
  </si>
  <si>
    <t>Oficina Mercado Modelo - Piura</t>
  </si>
  <si>
    <t>P021098</t>
  </si>
  <si>
    <t>ALMAYDER VIDAL ZEVALLOS SOBRINO</t>
  </si>
  <si>
    <t>ALMAYDER.ZEVALLOS@BBVA.COM</t>
  </si>
  <si>
    <t>Oficina Bagua Grande</t>
  </si>
  <si>
    <t>P021112</t>
  </si>
  <si>
    <t>MAGNA YSABEL CARDOZO PAICO</t>
  </si>
  <si>
    <t>MAGNA.CARDOZO@BBVA.COM</t>
  </si>
  <si>
    <t>Oficina C.C. Real Plaza Santa Clara</t>
  </si>
  <si>
    <t>P021170</t>
  </si>
  <si>
    <t>SHEYLA VICTORIA ALZAMORA ESTRELLA</t>
  </si>
  <si>
    <t>SHEYLA.ALZAMORA@BBVA.COM</t>
  </si>
  <si>
    <t>Oficina Conquistadores</t>
  </si>
  <si>
    <t>P021258</t>
  </si>
  <si>
    <t>GIORDY MIGUEL OLAZABAL CARAZAS</t>
  </si>
  <si>
    <t>GIORDY.OLAZABAL@BBVA.COM</t>
  </si>
  <si>
    <t>Oficina Mega Plaza Cañete</t>
  </si>
  <si>
    <t>P021432</t>
  </si>
  <si>
    <t>ALBANO JOSE TORRES QUISPE</t>
  </si>
  <si>
    <t>ALBANO.TORRES@BBVA.COM</t>
  </si>
  <si>
    <t>Oficina Parque Castilla</t>
  </si>
  <si>
    <t>P021476</t>
  </si>
  <si>
    <t>JACKELYNE ESTEFANI VILCA LARA</t>
  </si>
  <si>
    <t>JACKELYNE.VILCA@BBVA.COM</t>
  </si>
  <si>
    <t>Oficina La Rotonda</t>
  </si>
  <si>
    <t>P021485</t>
  </si>
  <si>
    <t>RICARDO ANDRE GARCIA CHIRINOS</t>
  </si>
  <si>
    <t>RICARDO.GARCIA.CHIRINOS@BBVA.COM</t>
  </si>
  <si>
    <t>Oficina Hipolito Unanue</t>
  </si>
  <si>
    <t>Oficina Strip Center Próceres</t>
  </si>
  <si>
    <t>P021543</t>
  </si>
  <si>
    <t>NOELIA MARIA BLAS REYES</t>
  </si>
  <si>
    <t>NOELIA.BLAS@BBVA.COM</t>
  </si>
  <si>
    <t>Oficina El Quinde Ica</t>
  </si>
  <si>
    <t>P021619</t>
  </si>
  <si>
    <t>OMAR MOICHI HIGAKI MOYANO</t>
  </si>
  <si>
    <t>OMAR.HIGAKI@BBVA.COM</t>
  </si>
  <si>
    <t>Oficina Pando</t>
  </si>
  <si>
    <t>P021630</t>
  </si>
  <si>
    <t>CARLA FIORELLA TAVARA CHALCO</t>
  </si>
  <si>
    <t>CARLA.TAVARA@BBVA.COM</t>
  </si>
  <si>
    <t>Oficina Angamos Este</t>
  </si>
  <si>
    <t>P021651</t>
  </si>
  <si>
    <t>GILBERT ROMARIO RIVERA ESTRADA</t>
  </si>
  <si>
    <t>GILBERT.RIVERA@BBVA.COM</t>
  </si>
  <si>
    <t>Oficina Satipo</t>
  </si>
  <si>
    <t>P021863</t>
  </si>
  <si>
    <t>SHERIDA NATALY AYLLON CAMARENA</t>
  </si>
  <si>
    <t>SHERIDA.AYLLON@BBVA.COM</t>
  </si>
  <si>
    <t>Oficina Candamo</t>
  </si>
  <si>
    <t>P021902</t>
  </si>
  <si>
    <t>JOSE LUIS YARLEQUE ROJAS</t>
  </si>
  <si>
    <t>JOSE.YARLEQUE@BBVA.COM</t>
  </si>
  <si>
    <t>Oficina El Polo</t>
  </si>
  <si>
    <t>P021951</t>
  </si>
  <si>
    <t>MILUSKA ALEXANDRA SURCO FLORES</t>
  </si>
  <si>
    <t>MILUSKA.SURCO@BBVA.COM</t>
  </si>
  <si>
    <t>Oficina Mala</t>
  </si>
  <si>
    <t>P022263</t>
  </si>
  <si>
    <t>ANY GAIVY GOMEZ BERECHE</t>
  </si>
  <si>
    <t>ANY.GOMEZ@BBVA.COM</t>
  </si>
  <si>
    <t>Oficina Villa Ma.del Triunfo</t>
  </si>
  <si>
    <t>P022366</t>
  </si>
  <si>
    <t>KATHERINE SANDRA CAMARGO GUILLEN</t>
  </si>
  <si>
    <t>KATHERINE.CAMARGO@BBVA.COM</t>
  </si>
  <si>
    <t>Oficina La Encalada</t>
  </si>
  <si>
    <t>P022441</t>
  </si>
  <si>
    <t>SANDRA SOFIA CANO PANANA</t>
  </si>
  <si>
    <t>SANDRA.CANO.PANANA@BBVA.COM</t>
  </si>
  <si>
    <t>Oficina Mercado Productores Santa Anita</t>
  </si>
  <si>
    <t>P022444</t>
  </si>
  <si>
    <t>DICKSON ALBERTO NIMA ROJAS</t>
  </si>
  <si>
    <t>DICKSON.NIMA@BBVA.COM</t>
  </si>
  <si>
    <t>Oficina El Muro</t>
  </si>
  <si>
    <t>P022663</t>
  </si>
  <si>
    <t>ELIZABETH QUISPE SALAS</t>
  </si>
  <si>
    <t>ELIZABETH.QUISPE@BBVA.COM</t>
  </si>
  <si>
    <t>Oficina San Rafael</t>
  </si>
  <si>
    <t>P022968</t>
  </si>
  <si>
    <t>THALIA JESSENIA CHAVEZ GIL</t>
  </si>
  <si>
    <t>THALIA.CHAVEZ@BBVA.COM</t>
  </si>
  <si>
    <t>Oficina Rimac</t>
  </si>
  <si>
    <t>P023102</t>
  </si>
  <si>
    <t>PIERO PAOLO CABALLERO CABRERA</t>
  </si>
  <si>
    <t>PIERO.CABALLERO@BBVA.COM</t>
  </si>
  <si>
    <t>Oficina Cedros de Villa</t>
  </si>
  <si>
    <t>P023171</t>
  </si>
  <si>
    <t>BRIZETH ISABEL RAMIREZ GALVEZ</t>
  </si>
  <si>
    <t>BRIZETH.RAMIREZ@BBVA.COM</t>
  </si>
  <si>
    <t>Oficina Las Bambas</t>
  </si>
  <si>
    <t>P023311</t>
  </si>
  <si>
    <t>YASMINE CONTRERAS CHURA</t>
  </si>
  <si>
    <t>YASMINE.CONTRERAS@BBVA.COM</t>
  </si>
  <si>
    <t>Oficina Petit Thouars</t>
  </si>
  <si>
    <t>P023838</t>
  </si>
  <si>
    <t>GRETELL LISBETH MORENO CARRUITERO</t>
  </si>
  <si>
    <t>GRETELL.MORENO@BBVA.COM</t>
  </si>
  <si>
    <t>Oficina Damero Gamarra</t>
  </si>
  <si>
    <t>P023840</t>
  </si>
  <si>
    <t>FIORELA MARILLY ORTEGA MALLQUI</t>
  </si>
  <si>
    <t>FIORELA.ORTEGA@BBVA.COM</t>
  </si>
  <si>
    <t>Oficina El Sol</t>
  </si>
  <si>
    <t>P023844</t>
  </si>
  <si>
    <t>NATHALY DAJANA CASTRO GUTIERREZ</t>
  </si>
  <si>
    <t>NATHALY.CASTRO@BBVA.COM</t>
  </si>
  <si>
    <t>Oficina Chota</t>
  </si>
  <si>
    <t>P025078</t>
  </si>
  <si>
    <t>DIEGO PAUL CHAVEZ CARRERA</t>
  </si>
  <si>
    <t>DIEGO.CHAVEZ.CARRERA@BBVA.COM</t>
  </si>
  <si>
    <t>FECHA</t>
  </si>
  <si>
    <t>HORA</t>
  </si>
  <si>
    <t>Territorio</t>
  </si>
  <si>
    <t>CODIGO</t>
  </si>
  <si>
    <t>OFICINA</t>
  </si>
  <si>
    <t>TERMINAL</t>
  </si>
  <si>
    <t>SOLES</t>
  </si>
  <si>
    <t>DOLAR</t>
  </si>
  <si>
    <t>EUROS</t>
  </si>
  <si>
    <t>SALDO TOTAL</t>
  </si>
  <si>
    <t>RESULTADO</t>
  </si>
  <si>
    <t>NOMBRE_SUG-GERENTE</t>
  </si>
  <si>
    <t>CORREO</t>
  </si>
  <si>
    <t xml:space="preserve">NORTE  </t>
  </si>
  <si>
    <t>OVALO LARCO - TRUJILLO</t>
  </si>
  <si>
    <t>N211</t>
  </si>
  <si>
    <t>N212</t>
  </si>
  <si>
    <t>N213</t>
  </si>
  <si>
    <t>LEGUIA - CHICLAYO</t>
  </si>
  <si>
    <t>1N11</t>
  </si>
  <si>
    <t>1N12</t>
  </si>
  <si>
    <t>1N13</t>
  </si>
  <si>
    <t>SANTA ROSA SULLANA</t>
  </si>
  <si>
    <t>2F11</t>
  </si>
  <si>
    <t>2F12</t>
  </si>
  <si>
    <t>2F13</t>
  </si>
  <si>
    <t>OPEN PLAZA CHICLAYO</t>
  </si>
  <si>
    <t>MIRAFLORES - PIURA</t>
  </si>
  <si>
    <t>6T11</t>
  </si>
  <si>
    <t>6T13</t>
  </si>
  <si>
    <t>6T14</t>
  </si>
  <si>
    <t>6T15</t>
  </si>
  <si>
    <t>HUSARES DE JUNIN</t>
  </si>
  <si>
    <t>6U21</t>
  </si>
  <si>
    <t>6U22</t>
  </si>
  <si>
    <t>6U23</t>
  </si>
  <si>
    <t>6U24</t>
  </si>
  <si>
    <t>CHEPEN</t>
  </si>
  <si>
    <t>6V21</t>
  </si>
  <si>
    <t>6V23</t>
  </si>
  <si>
    <t>6V22</t>
  </si>
  <si>
    <t>TRUJILLO</t>
  </si>
  <si>
    <t>T2L2</t>
  </si>
  <si>
    <t>T2L3</t>
  </si>
  <si>
    <t>T2L5</t>
  </si>
  <si>
    <t>T2L6</t>
  </si>
  <si>
    <t>T2L7</t>
  </si>
  <si>
    <t>T2L8</t>
  </si>
  <si>
    <t>T2L9</t>
  </si>
  <si>
    <t>T2LC</t>
  </si>
  <si>
    <t>PRIMAVERA</t>
  </si>
  <si>
    <t>6Y21</t>
  </si>
  <si>
    <t>6Y22</t>
  </si>
  <si>
    <t>6Y23</t>
  </si>
  <si>
    <t>6Y24</t>
  </si>
  <si>
    <t>MERCADO MAYORISTA - TRUJILLO</t>
  </si>
  <si>
    <t>6Z21</t>
  </si>
  <si>
    <t>6Z22</t>
  </si>
  <si>
    <t>6Z23</t>
  </si>
  <si>
    <t>6Z24</t>
  </si>
  <si>
    <t>LARCO - TRUJILLO</t>
  </si>
  <si>
    <t>TUMBES</t>
  </si>
  <si>
    <t>7D21</t>
  </si>
  <si>
    <t>7D22</t>
  </si>
  <si>
    <t>7D23</t>
  </si>
  <si>
    <t>7D24</t>
  </si>
  <si>
    <t>7D25</t>
  </si>
  <si>
    <t>PIURA</t>
  </si>
  <si>
    <t>T2U2</t>
  </si>
  <si>
    <t>T2U3</t>
  </si>
  <si>
    <t>T2U4</t>
  </si>
  <si>
    <t>T2U5</t>
  </si>
  <si>
    <t>T2U6</t>
  </si>
  <si>
    <t>MERCADO MODELO PIURA</t>
  </si>
  <si>
    <t>7G21</t>
  </si>
  <si>
    <t>7G22</t>
  </si>
  <si>
    <t>7G23</t>
  </si>
  <si>
    <t>7G24</t>
  </si>
  <si>
    <t>TALARA</t>
  </si>
  <si>
    <t>7I21</t>
  </si>
  <si>
    <t>7I23</t>
  </si>
  <si>
    <t>7I24</t>
  </si>
  <si>
    <t>PAITA</t>
  </si>
  <si>
    <t>7J21</t>
  </si>
  <si>
    <t>7J22</t>
  </si>
  <si>
    <t>7J24</t>
  </si>
  <si>
    <t>SULLANA</t>
  </si>
  <si>
    <t>7M21</t>
  </si>
  <si>
    <t>7M23</t>
  </si>
  <si>
    <t>7M26</t>
  </si>
  <si>
    <t>CHICLAYO</t>
  </si>
  <si>
    <t>T2X3</t>
  </si>
  <si>
    <t>T2X5</t>
  </si>
  <si>
    <t>T2X7</t>
  </si>
  <si>
    <t>T2X9</t>
  </si>
  <si>
    <t>T2XB</t>
  </si>
  <si>
    <t>MERCADO MODELO CHICLAYO</t>
  </si>
  <si>
    <t>7Z21</t>
  </si>
  <si>
    <t>7Z22</t>
  </si>
  <si>
    <t>7Z23</t>
  </si>
  <si>
    <t>MOSHOQUEQUE</t>
  </si>
  <si>
    <t>PACASMAYO</t>
  </si>
  <si>
    <t>REAL PLAZA CHICLAYO</t>
  </si>
  <si>
    <t>9O11</t>
  </si>
  <si>
    <t>9O12</t>
  </si>
  <si>
    <t>9O13</t>
  </si>
  <si>
    <t>LAMBAYEQUE</t>
  </si>
  <si>
    <t>CA11</t>
  </si>
  <si>
    <t>CA12</t>
  </si>
  <si>
    <t>CA14</t>
  </si>
  <si>
    <t>OPEN PLAZA PIURA</t>
  </si>
  <si>
    <t>FE11</t>
  </si>
  <si>
    <t>FE12</t>
  </si>
  <si>
    <t>FE13</t>
  </si>
  <si>
    <t>EL PORVENIR</t>
  </si>
  <si>
    <t>H711</t>
  </si>
  <si>
    <t>H713</t>
  </si>
  <si>
    <t>H714</t>
  </si>
  <si>
    <t>REAL PLAZA PIURA</t>
  </si>
  <si>
    <t>IJ16</t>
  </si>
  <si>
    <t>METRO SANTA ELENA</t>
  </si>
  <si>
    <t>M411</t>
  </si>
  <si>
    <t>M412</t>
  </si>
  <si>
    <t>M413</t>
  </si>
  <si>
    <t>OVALO PAPAL</t>
  </si>
  <si>
    <t>NF11</t>
  </si>
  <si>
    <t>NF12</t>
  </si>
  <si>
    <t>NF14</t>
  </si>
  <si>
    <t>MALL PLAZA TRUJILLO</t>
  </si>
  <si>
    <t>P011</t>
  </si>
  <si>
    <t>P012</t>
  </si>
  <si>
    <t>P013</t>
  </si>
  <si>
    <t>P014</t>
  </si>
  <si>
    <t>REAL PLAZA TRUJILLO</t>
  </si>
  <si>
    <t>PI11</t>
  </si>
  <si>
    <t>PI14</t>
  </si>
  <si>
    <t>PI15</t>
  </si>
  <si>
    <t>LIMA CENTRO</t>
  </si>
  <si>
    <t>ABANCAY CONGRESO</t>
  </si>
  <si>
    <t>A121</t>
  </si>
  <si>
    <t>A122</t>
  </si>
  <si>
    <t>A123</t>
  </si>
  <si>
    <t>APOLO</t>
  </si>
  <si>
    <t>4J26</t>
  </si>
  <si>
    <t>4J22</t>
  </si>
  <si>
    <t>4J23</t>
  </si>
  <si>
    <t>4J24</t>
  </si>
  <si>
    <t>CAMANA</t>
  </si>
  <si>
    <t>2T21</t>
  </si>
  <si>
    <t>2T22</t>
  </si>
  <si>
    <t>2T23</t>
  </si>
  <si>
    <t>2T24</t>
  </si>
  <si>
    <t>CANTO GRANDE</t>
  </si>
  <si>
    <t>8Y21</t>
  </si>
  <si>
    <t>8Y22</t>
  </si>
  <si>
    <t>8Y23</t>
  </si>
  <si>
    <t>8Y24</t>
  </si>
  <si>
    <t>CAPON</t>
  </si>
  <si>
    <t>2V21</t>
  </si>
  <si>
    <t>2V22</t>
  </si>
  <si>
    <t>2V23</t>
  </si>
  <si>
    <t>2V24</t>
  </si>
  <si>
    <t>2V25</t>
  </si>
  <si>
    <t>DAMERO GAMARRA</t>
  </si>
  <si>
    <t>6Q12</t>
  </si>
  <si>
    <t>6Q13</t>
  </si>
  <si>
    <t>EL MURO</t>
  </si>
  <si>
    <t>EL SOL</t>
  </si>
  <si>
    <t>N411</t>
  </si>
  <si>
    <t>N412</t>
  </si>
  <si>
    <t>N414</t>
  </si>
  <si>
    <t>GAMARRA</t>
  </si>
  <si>
    <t>GRAN CHIMU</t>
  </si>
  <si>
    <t>HIPOLITO UNANUE</t>
  </si>
  <si>
    <t>6S11</t>
  </si>
  <si>
    <t>6S12</t>
  </si>
  <si>
    <t>6S13</t>
  </si>
  <si>
    <t>6S14</t>
  </si>
  <si>
    <t>6S17</t>
  </si>
  <si>
    <t>LA COLMENA</t>
  </si>
  <si>
    <t>3I22</t>
  </si>
  <si>
    <t>3I23</t>
  </si>
  <si>
    <t>LA VICTORIA</t>
  </si>
  <si>
    <t>LAS FLORES</t>
  </si>
  <si>
    <t>3K21</t>
  </si>
  <si>
    <t>3K22</t>
  </si>
  <si>
    <t>3K23</t>
  </si>
  <si>
    <t>3K24</t>
  </si>
  <si>
    <t>3K25</t>
  </si>
  <si>
    <t>LIMA</t>
  </si>
  <si>
    <t>3M22</t>
  </si>
  <si>
    <t>3M26</t>
  </si>
  <si>
    <t>MEXICO</t>
  </si>
  <si>
    <t>NICOLAS ARRIOLA 1</t>
  </si>
  <si>
    <t>3N21</t>
  </si>
  <si>
    <t>3N22</t>
  </si>
  <si>
    <t>3N23</t>
  </si>
  <si>
    <t>3N24</t>
  </si>
  <si>
    <t>NICOLAS ARRIOLA 2</t>
  </si>
  <si>
    <t>5H21</t>
  </si>
  <si>
    <t>5H22</t>
  </si>
  <si>
    <t>5H23</t>
  </si>
  <si>
    <t>PARINACOCHAS</t>
  </si>
  <si>
    <t>3G21</t>
  </si>
  <si>
    <t>3G22</t>
  </si>
  <si>
    <t>3G23</t>
  </si>
  <si>
    <t>REAL PLAZA CENTRO CIVICO</t>
  </si>
  <si>
    <t>4V31</t>
  </si>
  <si>
    <t>4V32</t>
  </si>
  <si>
    <t>4V33</t>
  </si>
  <si>
    <t>4V34</t>
  </si>
  <si>
    <t>4V35</t>
  </si>
  <si>
    <t>RIMAC</t>
  </si>
  <si>
    <t>2X21</t>
  </si>
  <si>
    <t>2X22</t>
  </si>
  <si>
    <t>SAMUEL ALCAZAR</t>
  </si>
  <si>
    <t>4X21</t>
  </si>
  <si>
    <t>4X22</t>
  </si>
  <si>
    <t>4X23</t>
  </si>
  <si>
    <t>SANTA CATALINA</t>
  </si>
  <si>
    <t>CB13</t>
  </si>
  <si>
    <t>SEBASTIAN BARRANCA</t>
  </si>
  <si>
    <t>IB11</t>
  </si>
  <si>
    <t>IB12</t>
  </si>
  <si>
    <t>IB13</t>
  </si>
  <si>
    <t>ZARATE</t>
  </si>
  <si>
    <t>3v29</t>
  </si>
  <si>
    <t>3v23</t>
  </si>
  <si>
    <t>3v24</t>
  </si>
  <si>
    <t>3v25</t>
  </si>
  <si>
    <t>LIMA RESIDENCIAL</t>
  </si>
  <si>
    <t>Ovalo Quiñones</t>
  </si>
  <si>
    <t>0N11</t>
  </si>
  <si>
    <t>0N13</t>
  </si>
  <si>
    <t>Camino Real</t>
  </si>
  <si>
    <t>3F21</t>
  </si>
  <si>
    <t>3F24</t>
  </si>
  <si>
    <t>Salamanca</t>
  </si>
  <si>
    <t>3S21</t>
  </si>
  <si>
    <t>3S22</t>
  </si>
  <si>
    <t>3S23</t>
  </si>
  <si>
    <t>C C San isidro</t>
  </si>
  <si>
    <t>3Y21</t>
  </si>
  <si>
    <t>3Y22</t>
  </si>
  <si>
    <t>3Y23</t>
  </si>
  <si>
    <t>3Y24</t>
  </si>
  <si>
    <t>3Y25</t>
  </si>
  <si>
    <t>San Borja</t>
  </si>
  <si>
    <t>La Rambla</t>
  </si>
  <si>
    <t>Dos De Mayo</t>
  </si>
  <si>
    <t>Corpac</t>
  </si>
  <si>
    <t>5B21</t>
  </si>
  <si>
    <t>5B22</t>
  </si>
  <si>
    <t>5B23</t>
  </si>
  <si>
    <t>El Pino</t>
  </si>
  <si>
    <t>9B21</t>
  </si>
  <si>
    <t>9B22</t>
  </si>
  <si>
    <t>9B24</t>
  </si>
  <si>
    <t>Rosa Toro</t>
  </si>
  <si>
    <t>9H21</t>
  </si>
  <si>
    <t>9H22</t>
  </si>
  <si>
    <t>9H23</t>
  </si>
  <si>
    <t>9H24</t>
  </si>
  <si>
    <t>Las Begonias</t>
  </si>
  <si>
    <t>9U21</t>
  </si>
  <si>
    <t>9U23</t>
  </si>
  <si>
    <t>Petit Thouars</t>
  </si>
  <si>
    <t>9W21</t>
  </si>
  <si>
    <t>9W22</t>
  </si>
  <si>
    <t>9W23</t>
  </si>
  <si>
    <t>San Luis</t>
  </si>
  <si>
    <t>9Y21</t>
  </si>
  <si>
    <t>9Y22</t>
  </si>
  <si>
    <t>9Y23</t>
  </si>
  <si>
    <t>AV Central</t>
  </si>
  <si>
    <t>9Z21</t>
  </si>
  <si>
    <t>9Z22</t>
  </si>
  <si>
    <t>9Z23</t>
  </si>
  <si>
    <t>Basadre</t>
  </si>
  <si>
    <t>A422</t>
  </si>
  <si>
    <t>A423</t>
  </si>
  <si>
    <t>Limatambo</t>
  </si>
  <si>
    <t>AA21</t>
  </si>
  <si>
    <t>AA22</t>
  </si>
  <si>
    <t>AA23</t>
  </si>
  <si>
    <t>Los Robles</t>
  </si>
  <si>
    <t>AC25</t>
  </si>
  <si>
    <t>AC22</t>
  </si>
  <si>
    <t>AC23</t>
  </si>
  <si>
    <t>AC24</t>
  </si>
  <si>
    <t>Carnaval y Moreyra</t>
  </si>
  <si>
    <t>AR21</t>
  </si>
  <si>
    <t>AR22</t>
  </si>
  <si>
    <t>AR23</t>
  </si>
  <si>
    <t>AR24</t>
  </si>
  <si>
    <t>AR25</t>
  </si>
  <si>
    <t>San isidro</t>
  </si>
  <si>
    <t>DI91</t>
  </si>
  <si>
    <t>DI12</t>
  </si>
  <si>
    <t>DI13</t>
  </si>
  <si>
    <t>DI93</t>
  </si>
  <si>
    <t>DI14</t>
  </si>
  <si>
    <t>DI94</t>
  </si>
  <si>
    <t>San Borja Sur</t>
  </si>
  <si>
    <t>H312</t>
  </si>
  <si>
    <t>EJECUCIÓN</t>
  </si>
  <si>
    <t>monitoreocgr1.pe@bbva.com</t>
  </si>
  <si>
    <t>EDUARDO.VALLE@BBVA.COM</t>
  </si>
  <si>
    <t xml:space="preserve">EDUARDO ANDRES VALLE </t>
  </si>
  <si>
    <t>P025416</t>
  </si>
  <si>
    <t>14/10/2020</t>
  </si>
  <si>
    <t>NO_LISTA</t>
  </si>
  <si>
    <t>CONFORME</t>
  </si>
  <si>
    <t>ALERTA</t>
  </si>
  <si>
    <t>SALDO NEGATIVO</t>
  </si>
  <si>
    <t>EXCEDIDO</t>
  </si>
  <si>
    <t>YONY.DIAZ@BBVA.COM,monitoreocgr1.pe@bbva.com</t>
  </si>
  <si>
    <t>BTORRESC@BBVA.COM,monitoreocgr1.pe@bbva.com</t>
  </si>
  <si>
    <t>JBARRIENTOS@BBVA.COM,monitoreocgr1.pe@bbva.com</t>
  </si>
  <si>
    <t>KARICOCHE@BBVA.COM,monitoreocgr1.pe@bbva.com</t>
  </si>
  <si>
    <t>JAPUY@BBVA.COM,monitoreocgr1.pe@bbva.com</t>
  </si>
  <si>
    <t>MNAVARRO@BBVA.COM,monitoreocgr1.pe@bbva.com</t>
  </si>
  <si>
    <t>ABALLESTEROS@BBVA.COM,monitoreocgr1.pe@bbva.com</t>
  </si>
  <si>
    <t>RCHERO@BBVA.COM,monitoreocgr1.pe@bbva.com</t>
  </si>
  <si>
    <t>ATELLO@BBVA.COM,monitoreocgr1.pe@bbva.com</t>
  </si>
  <si>
    <t>JMMORENO@BBVA.COM,monitoreocgr1.pe@bbva.com</t>
  </si>
  <si>
    <t>LSALAZAR@BBVA.COM,monitoreocgr1.pe@bbva.com</t>
  </si>
  <si>
    <t>KACOSTA@BBVA.COM,monitoreocgr1.pe@bbva.com</t>
  </si>
  <si>
    <t>VCARDENASA@BBVA.COM,monitoreocgr1.pe@bbva.com</t>
  </si>
  <si>
    <t>ALMAYDER.ZEVALLOS@BBVA.COM,monitoreocgr1.pe@bbva.com</t>
  </si>
  <si>
    <t>LSOSA@BBVA.COM,monitoreocgr1.pe@bbva.com</t>
  </si>
  <si>
    <t>RCALVO@BBVA.COM,monitoreocgr1.pe@bbva.com</t>
  </si>
  <si>
    <t>MREANO@BBVA.COM,monitoreocgr1.pe@bbva.com</t>
  </si>
  <si>
    <t>JPEREZV@BBVA.COM,monitoreocgr1.pe@bbva.com</t>
  </si>
  <si>
    <t>MCCASTILLO@BBVA.COM,monitoreocgr1.pe@bbva.com</t>
  </si>
  <si>
    <t>VPAZ@BBVA.COM,monitoreocgr1.pe@bbva.com</t>
  </si>
  <si>
    <t>MFALLA@BBVA.COM,monitoreocgr1.pe@bbva.com</t>
  </si>
  <si>
    <t>GCASTILLOQ@BBVA.COM,monitoreocgr1.pe@bbva.com</t>
  </si>
  <si>
    <t>ALEYVA@BBVA.COM,monitoreocgr1.pe@bbva.com</t>
  </si>
  <si>
    <t>LMARTINEZM@BBVA.COM,monitoreocgr1.pe@bbva.com</t>
  </si>
  <si>
    <t>JLUJAN@BBVA.COM,monitoreocgr1.pe@bbva.com</t>
  </si>
  <si>
    <t>RVASQUEZ@BBVA.COM,monitoreocgr1.pe@bbva.com</t>
  </si>
  <si>
    <t>SDELCASTILLO@BBVA.COM,monitoreocgr1.pe@bbva.com</t>
  </si>
  <si>
    <t>VORDONEZ@BBVA.COM,monitoreocgr1.pe@bbva.com</t>
  </si>
  <si>
    <t>JARRASCO@BBVA.COM,monitoreocgr1.pe@bbva.com</t>
  </si>
  <si>
    <t>AGALVEZG@BBVA.COM,monitoreocgr1.pe@bbva.com</t>
  </si>
  <si>
    <t>VESPINOZA@BBVA.COM,monitoreocgr1.pe@bbva.com</t>
  </si>
  <si>
    <t>mercedes.torres.medina@bbva.com,monitoreocgr1.pe@bbva.com</t>
  </si>
  <si>
    <t>CVALLADARES@BBVA.COM,monitoreocgr1.pe@bbva.com</t>
  </si>
  <si>
    <t>AACERO@BBVA.COM,monitoreocgr1.pe@bbva.com</t>
  </si>
  <si>
    <t>BMORALES@BBVA.COM,monitoreocgr1.pe@bbva.com</t>
  </si>
  <si>
    <t>FIORELA.ORTEGA@BBVA.COM,monitoreocgr1.pe@bbva.com</t>
  </si>
  <si>
    <t>ELIZABETH.QUISPE@BBVA.COM,monitoreocgr1.pe@bbva.com</t>
  </si>
  <si>
    <t>NATHALY.CASTRO@BBVA.COM,monitoreocgr1.pe@bbva.com</t>
  </si>
  <si>
    <t>cristhian.tineo@bbva.com,monitoreocgr1.pe@bbva.com</t>
  </si>
  <si>
    <t>LUIS.TAPAHUASCO@BBVA.COM,monitoreocgr1.pe@bbva.com</t>
  </si>
  <si>
    <t>PIERO.CABALLERO@BBVA.COM,monitoreocgr1.pe@bbva.com</t>
  </si>
  <si>
    <t>FTREMOLADA@BBVA.COM,monitoreocgr1.pe@bbva.com</t>
  </si>
  <si>
    <t>sara.mendez.altamirano@bbva.com,monitoreocgr1.pe@bbva.com</t>
  </si>
  <si>
    <t>JVASQUEZA@BBVA.COM,monitoreocgr1.pe@bbva.com</t>
  </si>
  <si>
    <t>DIANA.DELGADOP@BBVA.COM,monitoreocgr1.pe@bbva.com</t>
  </si>
  <si>
    <t>FBERNAOLA@BBVA.COM,monitoreocgr1.pe@bbva.com</t>
  </si>
  <si>
    <t>MREYNALDE@BBVA.COM,monitoreocgr1.pe@bbva.com</t>
  </si>
  <si>
    <t>DCHAVEZ@BBVA.COM,monitoreocgr1.pe@bbva.com</t>
  </si>
  <si>
    <t>laly.ortiz@bbva.com,monitoreocgr1.pe@bbva.com</t>
  </si>
  <si>
    <t>MELISSA.MALDONADOC@BBVA.COM,monitoreocgr1.pe@bbva.com</t>
  </si>
  <si>
    <t>EDUARDO.VALLE@BBVA.COM,monitoreocgr1.pe@bbva.com</t>
  </si>
  <si>
    <t>PARANDA@BBVA.COM,monitoreocgr1.pe@bbva.com</t>
  </si>
  <si>
    <t>OGARCILAZO@BBVA.COM,monitoreocgr1.pe@bbva.com</t>
  </si>
  <si>
    <t>ECHAVEZT@BBVA.COM,monitoreocgr1.pe@bbva.com</t>
  </si>
  <si>
    <t>MCHAMBI@BBVA.COM,monitoreocgr1.pe@bbva.com</t>
  </si>
  <si>
    <t>KASMAT@BBVA.COM,monitoreocgr1.pe@bbva.com</t>
  </si>
  <si>
    <t>GOVALLE@BBVA.COM,monitoreocgr1.pe@bbva.com</t>
  </si>
  <si>
    <t>FPRIALE@BBVA.COM,monitoreocgr1.pe@bbva.com</t>
  </si>
  <si>
    <t>RVALVERDEB@BBVA.COM,monitoreocgr1.pe@bbva.com</t>
  </si>
  <si>
    <t>KMONTERO@BBVA.COM,monitoreocgr1.pe@bbva.com</t>
  </si>
  <si>
    <t>ASOTOR@BBVA.COM,monitoreocgr1.pe@bbva.com</t>
  </si>
  <si>
    <t>RNAVARRETECAR@BBVA.COM,monitoreocgr1.pe@bbva.com</t>
  </si>
  <si>
    <t>NNONTOL@BBVA.COM,monitoreocgr1.pe@bbva.com</t>
  </si>
  <si>
    <t>MMORAL@BBVA.COM,monitoreocgr1.pe@bbva.com</t>
  </si>
  <si>
    <t>MUCEDA@BBVA.COM,monitoreocgr1.pe@bbva.com</t>
  </si>
  <si>
    <t>MAESPINOZA@BBVA.COM,monitoreocgr1.pe@bbva.com</t>
  </si>
  <si>
    <t>GRETELL.MORENO@BBVA.COM,monitoreocgr1.pe@bbva.com</t>
  </si>
  <si>
    <t>CVIGO@BBVA.COM,monitoreocgr1.pe@bbva.com</t>
  </si>
  <si>
    <t>SSERRANO@BBVA.COM,monitoreocgr1.pe@bbva.com</t>
  </si>
  <si>
    <t>ROBERTH.VALDERRAMA@BBVA.COM,monitoreocgr1.pe@bbva.com</t>
  </si>
  <si>
    <t>FCHIRINOS@BBVA.COM,monitoreocgr1.pe@bbva.com</t>
  </si>
  <si>
    <t>YPURICHINI@BBVA.COM,monitoreocgr1.pe@bbva.com</t>
  </si>
  <si>
    <t>WARIASCH@BBVA.COM,monitoreocgr1.pe@bbva.com</t>
  </si>
  <si>
    <t>JAPENALOZA@BBVA.COM,monitoreocgr1.pe@bbva.com</t>
  </si>
  <si>
    <t>NESTOR.ROJAS@BBVA.COM,monitoreocgr1.pe@bbva.com</t>
  </si>
  <si>
    <t>0030</t>
  </si>
  <si>
    <t>0059</t>
  </si>
  <si>
    <t>0087</t>
  </si>
  <si>
    <t>0216</t>
  </si>
  <si>
    <t>0245</t>
  </si>
  <si>
    <t>0246</t>
  </si>
  <si>
    <t>0247</t>
  </si>
  <si>
    <t>0249</t>
  </si>
  <si>
    <t>0250</t>
  </si>
  <si>
    <t>0251</t>
  </si>
  <si>
    <t>0254</t>
  </si>
  <si>
    <t>0265</t>
  </si>
  <si>
    <t>0267</t>
  </si>
  <si>
    <t>0268</t>
  </si>
  <si>
    <t>0270</t>
  </si>
  <si>
    <t>0271</t>
  </si>
  <si>
    <t>0274</t>
  </si>
  <si>
    <t>0285</t>
  </si>
  <si>
    <t>0287</t>
  </si>
  <si>
    <t>0288</t>
  </si>
  <si>
    <t>0291</t>
  </si>
  <si>
    <t>0348</t>
  </si>
  <si>
    <t>0442</t>
  </si>
  <si>
    <t>0554</t>
  </si>
  <si>
    <t>0619</t>
  </si>
  <si>
    <t>0667</t>
  </si>
  <si>
    <t>0796</t>
  </si>
  <si>
    <t>0843</t>
  </si>
  <si>
    <t>0900</t>
  </si>
  <si>
    <t>0918</t>
  </si>
  <si>
    <t>0361</t>
  </si>
  <si>
    <t>0163</t>
  </si>
  <si>
    <t>0101</t>
  </si>
  <si>
    <t>0322</t>
  </si>
  <si>
    <t>0103</t>
  </si>
  <si>
    <t>0242</t>
  </si>
  <si>
    <t>0256</t>
  </si>
  <si>
    <t>0832</t>
  </si>
  <si>
    <t>0144</t>
  </si>
  <si>
    <t>0257</t>
  </si>
  <si>
    <t>0244</t>
  </si>
  <si>
    <t>0126</t>
  </si>
  <si>
    <t>0115</t>
  </si>
  <si>
    <t>0128</t>
  </si>
  <si>
    <t>0130</t>
  </si>
  <si>
    <t>0112</t>
  </si>
  <si>
    <t>0131</t>
  </si>
  <si>
    <t>0197</t>
  </si>
  <si>
    <t>0124</t>
  </si>
  <si>
    <t>0175</t>
  </si>
  <si>
    <t>0105</t>
  </si>
  <si>
    <t>0177</t>
  </si>
  <si>
    <t>0443</t>
  </si>
  <si>
    <t>0659</t>
  </si>
  <si>
    <t>0139</t>
  </si>
  <si>
    <t>0023</t>
  </si>
  <si>
    <t>0123</t>
  </si>
  <si>
    <t>0136</t>
  </si>
  <si>
    <t>0142</t>
  </si>
  <si>
    <t>0152</t>
  </si>
  <si>
    <t>0186</t>
  </si>
  <si>
    <t>0189</t>
  </si>
  <si>
    <t>0191</t>
  </si>
  <si>
    <t>0335</t>
  </si>
  <si>
    <t>0341</t>
  </si>
  <si>
    <t>0354</t>
  </si>
  <si>
    <t>0356</t>
  </si>
  <si>
    <t>0358</t>
  </si>
  <si>
    <t>0359</t>
  </si>
  <si>
    <t>0364</t>
  </si>
  <si>
    <t>0370</t>
  </si>
  <si>
    <t>0372</t>
  </si>
  <si>
    <t>0387</t>
  </si>
  <si>
    <t>0486</t>
  </si>
  <si>
    <t>0615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</si>
</sst>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7214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/>
    </xf>
    <xf numFmtId="0" fontId="4" fillId="0" borderId="0" xfId="1" applyFont="1"/>
    <xf numFmtId="0" fontId="3" fillId="0" borderId="0" xfId="1"/>
    <xf numFmtId="20" fontId="0" fillId="0" borderId="0" xfId="0" applyNumberFormat="1"/>
    <xf numFmtId="4" fontId="1" fillId="3" borderId="0" xfId="0" applyNumberFormat="1" applyFont="1" applyFill="1" applyAlignment="1">
      <alignment horizontal="center"/>
    </xf>
    <xf numFmtId="4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DUARDO.VALLE@BBVA.COM" TargetMode="External"/><Relationship Id="rId2" Type="http://schemas.openxmlformats.org/officeDocument/2006/relationships/hyperlink" Target="mailto:monitoreocgr1.pe@bbva.com" TargetMode="External"/><Relationship Id="rId1" Type="http://schemas.openxmlformats.org/officeDocument/2006/relationships/hyperlink" Target="mailto:monitoreocgr1.pe@bbva.com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258"/>
  <sheetViews>
    <sheetView topLeftCell="A190" workbookViewId="0">
      <selection activeCell="A2" sqref="A2:N155"/>
    </sheetView>
  </sheetViews>
  <sheetFormatPr baseColWidth="10" defaultRowHeight="15" x14ac:dyDescent="0.25"/>
  <cols>
    <col min="1" max="1" width="11.42578125" style="1"/>
    <col min="3" max="3" width="17.28515625" bestFit="1" customWidth="1"/>
    <col min="4" max="4" width="8.28515625" bestFit="1" customWidth="1"/>
    <col min="5" max="5" width="30.7109375" bestFit="1" customWidth="1"/>
    <col min="6" max="6" width="11.140625" style="1" customWidth="1"/>
    <col min="7" max="10" width="15.7109375" style="10" customWidth="1"/>
    <col min="11" max="11" width="16.5703125" customWidth="1"/>
    <col min="12" max="12" width="46.5703125" bestFit="1" customWidth="1"/>
    <col min="13" max="13" width="64.42578125" bestFit="1" customWidth="1"/>
  </cols>
  <sheetData>
    <row r="1" spans="1:14" x14ac:dyDescent="0.25">
      <c r="A1" s="5" t="s">
        <v>1498</v>
      </c>
      <c r="B1" s="5" t="s">
        <v>1499</v>
      </c>
      <c r="C1" s="5" t="s">
        <v>1500</v>
      </c>
      <c r="D1" s="5" t="s">
        <v>1501</v>
      </c>
      <c r="E1" s="5" t="s">
        <v>1502</v>
      </c>
      <c r="F1" s="5" t="s">
        <v>1503</v>
      </c>
      <c r="G1" s="9" t="s">
        <v>1504</v>
      </c>
      <c r="H1" s="9" t="s">
        <v>1505</v>
      </c>
      <c r="I1" s="9" t="s">
        <v>1506</v>
      </c>
      <c r="J1" s="9" t="s">
        <v>1507</v>
      </c>
      <c r="K1" s="5" t="s">
        <v>1508</v>
      </c>
      <c r="L1" s="5" t="s">
        <v>1509</v>
      </c>
      <c r="M1" s="5" t="s">
        <v>1510</v>
      </c>
      <c r="N1" s="5" t="s">
        <v>1803</v>
      </c>
    </row>
    <row r="2" spans="1:14" x14ac:dyDescent="0.25">
      <c r="A2" s="1" t="s">
        <v>1808</v>
      </c>
      <c r="B2" s="8">
        <v>0.55069444444444449</v>
      </c>
      <c r="C2" t="s">
        <v>1511</v>
      </c>
      <c r="D2" s="1" t="s">
        <v>1889</v>
      </c>
      <c r="E2" t="s">
        <v>1512</v>
      </c>
      <c r="F2" s="1" t="s">
        <v>1513</v>
      </c>
      <c r="G2" s="10">
        <v>41969.14</v>
      </c>
      <c r="H2" s="10">
        <v>3342</v>
      </c>
      <c r="I2" s="10" t="s">
        <v>1809</v>
      </c>
      <c r="J2" s="10">
        <v>52997.74</v>
      </c>
      <c r="K2" t="s">
        <v>1810</v>
      </c>
      <c r="L2" t="s">
        <v>1356</v>
      </c>
      <c r="M2" t="s">
        <v>1814</v>
      </c>
      <c r="N2" t="s">
        <v>1811</v>
      </c>
    </row>
    <row r="3" spans="1:14" x14ac:dyDescent="0.25">
      <c r="A3" s="1" t="s">
        <v>1808</v>
      </c>
      <c r="B3" s="8">
        <v>0.55069444444444449</v>
      </c>
      <c r="C3" t="s">
        <v>1511</v>
      </c>
      <c r="D3" s="1" t="s">
        <v>1889</v>
      </c>
      <c r="E3" t="s">
        <v>1512</v>
      </c>
      <c r="F3" s="1" t="s">
        <v>1514</v>
      </c>
      <c r="G3" s="10">
        <v>42248.46</v>
      </c>
      <c r="H3" s="10">
        <v>2308</v>
      </c>
      <c r="I3" s="10" t="s">
        <v>1809</v>
      </c>
      <c r="J3" s="10">
        <v>49864.86</v>
      </c>
      <c r="K3" t="s">
        <v>1810</v>
      </c>
      <c r="L3" t="s">
        <v>1356</v>
      </c>
      <c r="M3" t="s">
        <v>1814</v>
      </c>
      <c r="N3" t="s">
        <v>1811</v>
      </c>
    </row>
    <row r="4" spans="1:14" x14ac:dyDescent="0.25">
      <c r="A4" s="1" t="s">
        <v>1808</v>
      </c>
      <c r="B4" s="8">
        <v>0.55069444444444449</v>
      </c>
      <c r="C4" t="s">
        <v>1511</v>
      </c>
      <c r="D4" s="1" t="s">
        <v>1889</v>
      </c>
      <c r="E4" t="s">
        <v>1512</v>
      </c>
      <c r="F4" s="1" t="s">
        <v>1515</v>
      </c>
      <c r="G4" s="10">
        <v>116608.02</v>
      </c>
      <c r="H4" s="10">
        <v>2660</v>
      </c>
      <c r="I4" s="10" t="s">
        <v>1809</v>
      </c>
      <c r="J4" s="10">
        <v>125386.02</v>
      </c>
      <c r="K4" t="s">
        <v>1810</v>
      </c>
      <c r="L4" t="s">
        <v>1356</v>
      </c>
      <c r="M4" t="s">
        <v>1814</v>
      </c>
      <c r="N4" t="s">
        <v>1811</v>
      </c>
    </row>
    <row r="5" spans="1:14" x14ac:dyDescent="0.25">
      <c r="A5" s="1" t="s">
        <v>1808</v>
      </c>
      <c r="B5" s="8">
        <v>0.55069444444444449</v>
      </c>
      <c r="C5" t="s">
        <v>1511</v>
      </c>
      <c r="D5" s="1" t="s">
        <v>1890</v>
      </c>
      <c r="E5" t="s">
        <v>1516</v>
      </c>
      <c r="F5" s="1" t="s">
        <v>1517</v>
      </c>
      <c r="G5" s="10">
        <v>20243.52</v>
      </c>
      <c r="H5" s="10">
        <v>5411</v>
      </c>
      <c r="I5" s="10" t="s">
        <v>1809</v>
      </c>
      <c r="J5" s="10">
        <v>38099.82</v>
      </c>
      <c r="K5" t="s">
        <v>1810</v>
      </c>
      <c r="L5" t="s">
        <v>830</v>
      </c>
      <c r="M5" t="s">
        <v>1815</v>
      </c>
      <c r="N5" t="s">
        <v>1811</v>
      </c>
    </row>
    <row r="6" spans="1:14" x14ac:dyDescent="0.25">
      <c r="A6" s="1" t="s">
        <v>1808</v>
      </c>
      <c r="B6" s="8">
        <v>0.55069444444444449</v>
      </c>
      <c r="C6" t="s">
        <v>1511</v>
      </c>
      <c r="D6" s="1" t="s">
        <v>1890</v>
      </c>
      <c r="E6" t="s">
        <v>1516</v>
      </c>
      <c r="F6" s="1" t="s">
        <v>1518</v>
      </c>
      <c r="G6" s="10">
        <v>91416.57</v>
      </c>
      <c r="H6" s="10">
        <v>7955</v>
      </c>
      <c r="I6" s="10" t="s">
        <v>1809</v>
      </c>
      <c r="J6" s="10">
        <v>117668.07</v>
      </c>
      <c r="K6" t="s">
        <v>1810</v>
      </c>
      <c r="L6" t="s">
        <v>830</v>
      </c>
      <c r="M6" t="s">
        <v>1815</v>
      </c>
      <c r="N6" t="s">
        <v>1811</v>
      </c>
    </row>
    <row r="7" spans="1:14" x14ac:dyDescent="0.25">
      <c r="A7" s="1" t="s">
        <v>1808</v>
      </c>
      <c r="B7" s="8">
        <v>0.55069444444444449</v>
      </c>
      <c r="C7" t="s">
        <v>1511</v>
      </c>
      <c r="D7" s="1" t="s">
        <v>1890</v>
      </c>
      <c r="E7" t="s">
        <v>1516</v>
      </c>
      <c r="F7" s="1" t="s">
        <v>1519</v>
      </c>
      <c r="G7" s="10">
        <v>57176.23</v>
      </c>
      <c r="H7" s="10">
        <v>7568</v>
      </c>
      <c r="I7" s="10" t="s">
        <v>1809</v>
      </c>
      <c r="J7" s="10">
        <v>82150.63</v>
      </c>
      <c r="K7" t="s">
        <v>1810</v>
      </c>
      <c r="L7" t="s">
        <v>830</v>
      </c>
      <c r="M7" t="s">
        <v>1815</v>
      </c>
      <c r="N7" t="s">
        <v>1811</v>
      </c>
    </row>
    <row r="8" spans="1:14" x14ac:dyDescent="0.25">
      <c r="A8" s="1" t="s">
        <v>1808</v>
      </c>
      <c r="B8" s="8">
        <v>0.55069444444444449</v>
      </c>
      <c r="C8" t="s">
        <v>1511</v>
      </c>
      <c r="D8" s="1" t="s">
        <v>1891</v>
      </c>
      <c r="E8" t="s">
        <v>1520</v>
      </c>
      <c r="F8" s="1" t="s">
        <v>1521</v>
      </c>
      <c r="G8" s="10">
        <v>-369467.59</v>
      </c>
      <c r="H8" s="10">
        <v>2560</v>
      </c>
      <c r="I8" s="10" t="s">
        <v>1809</v>
      </c>
      <c r="J8" s="10">
        <v>-361019.59</v>
      </c>
      <c r="K8" t="s">
        <v>1812</v>
      </c>
      <c r="L8" t="s">
        <v>564</v>
      </c>
      <c r="M8" t="s">
        <v>1816</v>
      </c>
      <c r="N8" t="s">
        <v>1811</v>
      </c>
    </row>
    <row r="9" spans="1:14" x14ac:dyDescent="0.25">
      <c r="A9" s="1" t="s">
        <v>1808</v>
      </c>
      <c r="B9" s="8">
        <v>0.55138888888888882</v>
      </c>
      <c r="C9" t="s">
        <v>1511</v>
      </c>
      <c r="D9" s="1" t="s">
        <v>1891</v>
      </c>
      <c r="E9" t="s">
        <v>1520</v>
      </c>
      <c r="F9" s="1" t="s">
        <v>1522</v>
      </c>
      <c r="G9" s="10">
        <v>1266.4100000000001</v>
      </c>
      <c r="H9" s="10">
        <v>1617</v>
      </c>
      <c r="I9" s="10" t="s">
        <v>1809</v>
      </c>
      <c r="J9" s="10">
        <v>6602.5099999999993</v>
      </c>
      <c r="K9" t="s">
        <v>1810</v>
      </c>
      <c r="L9" t="s">
        <v>564</v>
      </c>
      <c r="M9" t="s">
        <v>1816</v>
      </c>
      <c r="N9" t="s">
        <v>1811</v>
      </c>
    </row>
    <row r="10" spans="1:14" x14ac:dyDescent="0.25">
      <c r="A10" s="1" t="s">
        <v>1808</v>
      </c>
      <c r="B10" s="8">
        <v>0.55138888888888882</v>
      </c>
      <c r="C10" t="s">
        <v>1511</v>
      </c>
      <c r="D10" s="1" t="s">
        <v>1891</v>
      </c>
      <c r="E10" t="s">
        <v>1520</v>
      </c>
      <c r="F10" s="1" t="s">
        <v>1523</v>
      </c>
      <c r="G10" s="10">
        <v>48217.7</v>
      </c>
      <c r="H10" s="10">
        <v>726</v>
      </c>
      <c r="I10" s="10" t="s">
        <v>1809</v>
      </c>
      <c r="J10" s="10">
        <v>50613.5</v>
      </c>
      <c r="K10" t="s">
        <v>1810</v>
      </c>
      <c r="L10" t="s">
        <v>564</v>
      </c>
      <c r="M10" t="s">
        <v>1816</v>
      </c>
      <c r="N10" t="s">
        <v>1811</v>
      </c>
    </row>
    <row r="11" spans="1:14" x14ac:dyDescent="0.25">
      <c r="A11" s="1" t="s">
        <v>1808</v>
      </c>
      <c r="B11" s="8">
        <v>0.55138888888888882</v>
      </c>
      <c r="C11" t="s">
        <v>1511</v>
      </c>
      <c r="D11" s="1" t="s">
        <v>1892</v>
      </c>
      <c r="E11" t="s">
        <v>1524</v>
      </c>
      <c r="F11" s="1">
        <v>6012</v>
      </c>
      <c r="G11" s="10">
        <v>109358.18</v>
      </c>
      <c r="H11" s="10">
        <v>12565</v>
      </c>
      <c r="I11" s="10" t="s">
        <v>1809</v>
      </c>
      <c r="J11" s="10">
        <v>150822.68</v>
      </c>
      <c r="K11" t="s">
        <v>1810</v>
      </c>
      <c r="L11" t="s">
        <v>943</v>
      </c>
      <c r="M11" t="s">
        <v>1817</v>
      </c>
      <c r="N11" t="s">
        <v>1811</v>
      </c>
    </row>
    <row r="12" spans="1:14" x14ac:dyDescent="0.25">
      <c r="A12" s="1" t="s">
        <v>1808</v>
      </c>
      <c r="B12" s="8">
        <v>0.55138888888888882</v>
      </c>
      <c r="C12" t="s">
        <v>1511</v>
      </c>
      <c r="D12" s="1" t="s">
        <v>1892</v>
      </c>
      <c r="E12" t="s">
        <v>1524</v>
      </c>
      <c r="F12" s="1">
        <v>6013</v>
      </c>
      <c r="G12" s="10">
        <v>36073.32</v>
      </c>
      <c r="H12" s="10">
        <v>690</v>
      </c>
      <c r="I12" s="10" t="s">
        <v>1809</v>
      </c>
      <c r="J12" s="10">
        <v>38350.32</v>
      </c>
      <c r="K12" t="s">
        <v>1810</v>
      </c>
      <c r="L12" t="s">
        <v>943</v>
      </c>
      <c r="M12" t="s">
        <v>1817</v>
      </c>
      <c r="N12" t="s">
        <v>1811</v>
      </c>
    </row>
    <row r="13" spans="1:14" x14ac:dyDescent="0.25">
      <c r="A13" s="1" t="s">
        <v>1808</v>
      </c>
      <c r="B13" s="8">
        <v>0.55138888888888882</v>
      </c>
      <c r="C13" t="s">
        <v>1511</v>
      </c>
      <c r="D13" s="1" t="s">
        <v>1892</v>
      </c>
      <c r="E13" t="s">
        <v>1524</v>
      </c>
      <c r="F13" s="1">
        <v>6014</v>
      </c>
      <c r="G13" s="10">
        <v>46585.15</v>
      </c>
      <c r="H13" s="10">
        <v>6363</v>
      </c>
      <c r="I13" s="10" t="s">
        <v>1809</v>
      </c>
      <c r="J13" s="10">
        <v>67583.05</v>
      </c>
      <c r="K13" t="s">
        <v>1810</v>
      </c>
      <c r="L13" t="s">
        <v>943</v>
      </c>
      <c r="M13" t="s">
        <v>1817</v>
      </c>
      <c r="N13" t="s">
        <v>1811</v>
      </c>
    </row>
    <row r="14" spans="1:14" x14ac:dyDescent="0.25">
      <c r="A14" s="1" t="s">
        <v>1808</v>
      </c>
      <c r="B14" s="8">
        <v>0.55138888888888882</v>
      </c>
      <c r="C14" t="s">
        <v>1511</v>
      </c>
      <c r="D14" s="1" t="s">
        <v>1893</v>
      </c>
      <c r="E14" t="s">
        <v>1525</v>
      </c>
      <c r="F14" s="1" t="s">
        <v>1526</v>
      </c>
      <c r="G14" s="10">
        <v>92075.19</v>
      </c>
      <c r="H14" s="10">
        <v>3581</v>
      </c>
      <c r="I14" s="10" t="s">
        <v>1809</v>
      </c>
      <c r="J14" s="10">
        <v>103892.49</v>
      </c>
      <c r="K14" t="s">
        <v>1810</v>
      </c>
      <c r="L14" t="s">
        <v>695</v>
      </c>
      <c r="M14" t="s">
        <v>1818</v>
      </c>
      <c r="N14" t="s">
        <v>1811</v>
      </c>
    </row>
    <row r="15" spans="1:14" x14ac:dyDescent="0.25">
      <c r="A15" s="1" t="s">
        <v>1808</v>
      </c>
      <c r="B15" s="8">
        <v>0.55138888888888882</v>
      </c>
      <c r="C15" t="s">
        <v>1511</v>
      </c>
      <c r="D15" s="1" t="s">
        <v>1893</v>
      </c>
      <c r="E15" t="s">
        <v>1525</v>
      </c>
      <c r="F15" s="1" t="s">
        <v>1527</v>
      </c>
      <c r="G15" s="10">
        <v>14080.02</v>
      </c>
      <c r="H15" s="10">
        <v>552</v>
      </c>
      <c r="I15" s="10" t="s">
        <v>1809</v>
      </c>
      <c r="J15" s="10">
        <v>15901.62</v>
      </c>
      <c r="K15" t="s">
        <v>1810</v>
      </c>
      <c r="L15" t="s">
        <v>695</v>
      </c>
      <c r="M15" t="s">
        <v>1818</v>
      </c>
      <c r="N15" t="s">
        <v>1811</v>
      </c>
    </row>
    <row r="16" spans="1:14" x14ac:dyDescent="0.25">
      <c r="A16" s="1" t="s">
        <v>1808</v>
      </c>
      <c r="B16" s="8">
        <v>0.55138888888888882</v>
      </c>
      <c r="C16" t="s">
        <v>1511</v>
      </c>
      <c r="D16" s="1" t="s">
        <v>1893</v>
      </c>
      <c r="E16" t="s">
        <v>1525</v>
      </c>
      <c r="F16" s="1" t="s">
        <v>1528</v>
      </c>
      <c r="G16" s="10">
        <v>120500.87</v>
      </c>
      <c r="H16" s="10">
        <v>7297</v>
      </c>
      <c r="I16" s="10" t="s">
        <v>1809</v>
      </c>
      <c r="J16" s="10">
        <v>144580.97</v>
      </c>
      <c r="K16" t="s">
        <v>1810</v>
      </c>
      <c r="L16" t="s">
        <v>695</v>
      </c>
      <c r="M16" t="s">
        <v>1818</v>
      </c>
      <c r="N16" t="s">
        <v>1811</v>
      </c>
    </row>
    <row r="17" spans="1:14" x14ac:dyDescent="0.25">
      <c r="A17" s="1" t="s">
        <v>1808</v>
      </c>
      <c r="B17" s="8">
        <v>0.55208333333333337</v>
      </c>
      <c r="C17" t="s">
        <v>1511</v>
      </c>
      <c r="D17" s="1" t="s">
        <v>1893</v>
      </c>
      <c r="E17" t="s">
        <v>1525</v>
      </c>
      <c r="F17" s="1" t="s">
        <v>1529</v>
      </c>
      <c r="G17" s="10">
        <v>19682.689999999999</v>
      </c>
      <c r="H17" s="10">
        <v>7325</v>
      </c>
      <c r="I17" s="10" t="s">
        <v>1809</v>
      </c>
      <c r="J17" s="10">
        <v>43855.19</v>
      </c>
      <c r="K17" t="s">
        <v>1810</v>
      </c>
      <c r="L17" t="s">
        <v>695</v>
      </c>
      <c r="M17" t="s">
        <v>1818</v>
      </c>
      <c r="N17" t="s">
        <v>1811</v>
      </c>
    </row>
    <row r="18" spans="1:14" x14ac:dyDescent="0.25">
      <c r="A18" s="1" t="s">
        <v>1808</v>
      </c>
      <c r="B18" s="8">
        <v>0.55208333333333337</v>
      </c>
      <c r="C18" t="s">
        <v>1511</v>
      </c>
      <c r="D18" s="1" t="s">
        <v>1894</v>
      </c>
      <c r="E18" t="s">
        <v>1530</v>
      </c>
      <c r="F18" s="1" t="s">
        <v>1531</v>
      </c>
      <c r="G18" s="10">
        <v>21964.06</v>
      </c>
      <c r="H18" s="10">
        <v>3206</v>
      </c>
      <c r="I18" s="10" t="s">
        <v>1809</v>
      </c>
      <c r="J18" s="10">
        <v>32543.86</v>
      </c>
      <c r="K18" t="s">
        <v>1810</v>
      </c>
      <c r="L18" t="s">
        <v>387</v>
      </c>
      <c r="M18" t="s">
        <v>1819</v>
      </c>
      <c r="N18" t="s">
        <v>1811</v>
      </c>
    </row>
    <row r="19" spans="1:14" x14ac:dyDescent="0.25">
      <c r="A19" s="1" t="s">
        <v>1808</v>
      </c>
      <c r="B19" s="8">
        <v>0.55208333333333337</v>
      </c>
      <c r="C19" t="s">
        <v>1511</v>
      </c>
      <c r="D19" s="1" t="s">
        <v>1894</v>
      </c>
      <c r="E19" t="s">
        <v>1530</v>
      </c>
      <c r="F19" s="1" t="s">
        <v>1532</v>
      </c>
      <c r="G19" s="10">
        <v>75379.399999999994</v>
      </c>
      <c r="H19" s="10">
        <v>12662.28</v>
      </c>
      <c r="I19" s="10" t="s">
        <v>1809</v>
      </c>
      <c r="J19" s="10">
        <v>117164.924</v>
      </c>
      <c r="K19" t="s">
        <v>1810</v>
      </c>
      <c r="L19" t="s">
        <v>387</v>
      </c>
      <c r="M19" t="s">
        <v>1819</v>
      </c>
      <c r="N19" t="s">
        <v>1811</v>
      </c>
    </row>
    <row r="20" spans="1:14" x14ac:dyDescent="0.25">
      <c r="A20" s="1" t="s">
        <v>1808</v>
      </c>
      <c r="B20" s="8">
        <v>0.55208333333333337</v>
      </c>
      <c r="C20" t="s">
        <v>1511</v>
      </c>
      <c r="D20" s="1" t="s">
        <v>1894</v>
      </c>
      <c r="E20" t="s">
        <v>1530</v>
      </c>
      <c r="F20" s="1" t="s">
        <v>1533</v>
      </c>
      <c r="G20" s="10">
        <v>4628.13</v>
      </c>
      <c r="H20" s="10">
        <v>7588</v>
      </c>
      <c r="I20" s="10" t="s">
        <v>1809</v>
      </c>
      <c r="J20" s="10">
        <v>29668.53</v>
      </c>
      <c r="K20" t="s">
        <v>1810</v>
      </c>
      <c r="L20" t="s">
        <v>387</v>
      </c>
      <c r="M20" t="s">
        <v>1819</v>
      </c>
      <c r="N20" t="s">
        <v>1811</v>
      </c>
    </row>
    <row r="21" spans="1:14" x14ac:dyDescent="0.25">
      <c r="A21" s="1" t="s">
        <v>1808</v>
      </c>
      <c r="B21" s="8">
        <v>0.55208333333333337</v>
      </c>
      <c r="C21" t="s">
        <v>1511</v>
      </c>
      <c r="D21" s="1" t="s">
        <v>1894</v>
      </c>
      <c r="E21" t="s">
        <v>1530</v>
      </c>
      <c r="F21" s="1" t="s">
        <v>1534</v>
      </c>
      <c r="G21" s="10">
        <v>945.48</v>
      </c>
      <c r="H21" s="10">
        <v>8268</v>
      </c>
      <c r="I21" s="10" t="s">
        <v>1809</v>
      </c>
      <c r="J21" s="10">
        <v>28229.879999999997</v>
      </c>
      <c r="K21" t="s">
        <v>1810</v>
      </c>
      <c r="L21" t="s">
        <v>387</v>
      </c>
      <c r="M21" t="s">
        <v>1819</v>
      </c>
      <c r="N21" t="s">
        <v>1811</v>
      </c>
    </row>
    <row r="22" spans="1:14" x14ac:dyDescent="0.25">
      <c r="A22" s="1" t="s">
        <v>1808</v>
      </c>
      <c r="B22" s="8">
        <v>0.55208333333333337</v>
      </c>
      <c r="C22" t="s">
        <v>1511</v>
      </c>
      <c r="D22" s="1" t="s">
        <v>1895</v>
      </c>
      <c r="E22" t="s">
        <v>1535</v>
      </c>
      <c r="F22" s="1" t="s">
        <v>1536</v>
      </c>
      <c r="G22" s="10">
        <v>72439.23</v>
      </c>
      <c r="H22" s="10">
        <v>9116</v>
      </c>
      <c r="I22" s="10" t="s">
        <v>1809</v>
      </c>
      <c r="J22" s="10">
        <v>102522.03</v>
      </c>
      <c r="K22" t="s">
        <v>1810</v>
      </c>
      <c r="L22" t="s">
        <v>947</v>
      </c>
      <c r="M22" t="s">
        <v>1820</v>
      </c>
      <c r="N22" t="s">
        <v>1811</v>
      </c>
    </row>
    <row r="23" spans="1:14" x14ac:dyDescent="0.25">
      <c r="A23" s="1" t="s">
        <v>1808</v>
      </c>
      <c r="B23" s="8">
        <v>0.55208333333333337</v>
      </c>
      <c r="C23" t="s">
        <v>1511</v>
      </c>
      <c r="D23" s="1" t="s">
        <v>1895</v>
      </c>
      <c r="E23" t="s">
        <v>1535</v>
      </c>
      <c r="F23" s="1" t="s">
        <v>1537</v>
      </c>
      <c r="G23" s="10">
        <v>93031.82</v>
      </c>
      <c r="H23" s="10">
        <v>9119</v>
      </c>
      <c r="I23" s="10" t="s">
        <v>1809</v>
      </c>
      <c r="J23" s="10">
        <v>123124.52</v>
      </c>
      <c r="K23" t="s">
        <v>1810</v>
      </c>
      <c r="L23" t="s">
        <v>947</v>
      </c>
      <c r="M23" t="s">
        <v>1820</v>
      </c>
      <c r="N23" t="s">
        <v>1811</v>
      </c>
    </row>
    <row r="24" spans="1:14" x14ac:dyDescent="0.25">
      <c r="A24" s="1" t="s">
        <v>1808</v>
      </c>
      <c r="B24" s="8">
        <v>0.55208333333333337</v>
      </c>
      <c r="C24" t="s">
        <v>1511</v>
      </c>
      <c r="D24" s="1" t="s">
        <v>1895</v>
      </c>
      <c r="E24" t="s">
        <v>1535</v>
      </c>
      <c r="F24" s="1" t="s">
        <v>1538</v>
      </c>
      <c r="G24" s="10">
        <v>99678.63</v>
      </c>
      <c r="H24" s="10">
        <v>8867</v>
      </c>
      <c r="I24" s="10" t="s">
        <v>1809</v>
      </c>
      <c r="J24" s="10">
        <v>128939.73000000001</v>
      </c>
      <c r="K24" t="s">
        <v>1810</v>
      </c>
      <c r="L24" t="s">
        <v>947</v>
      </c>
      <c r="M24" t="s">
        <v>1820</v>
      </c>
      <c r="N24" t="s">
        <v>1811</v>
      </c>
    </row>
    <row r="25" spans="1:14" x14ac:dyDescent="0.25">
      <c r="A25" s="1" t="s">
        <v>1808</v>
      </c>
      <c r="B25" s="8">
        <v>0.55208333333333337</v>
      </c>
      <c r="C25" t="s">
        <v>1511</v>
      </c>
      <c r="D25" s="1" t="s">
        <v>1896</v>
      </c>
      <c r="E25" t="s">
        <v>1539</v>
      </c>
      <c r="F25" s="1" t="s">
        <v>1540</v>
      </c>
      <c r="G25" s="10">
        <v>15313.83</v>
      </c>
      <c r="H25" s="10">
        <v>12477</v>
      </c>
      <c r="I25" s="10" t="s">
        <v>1809</v>
      </c>
      <c r="J25" s="10">
        <v>56487.93</v>
      </c>
      <c r="K25" t="s">
        <v>1810</v>
      </c>
      <c r="L25" t="s">
        <v>395</v>
      </c>
      <c r="M25" t="s">
        <v>1821</v>
      </c>
      <c r="N25" t="s">
        <v>1811</v>
      </c>
    </row>
    <row r="26" spans="1:14" x14ac:dyDescent="0.25">
      <c r="A26" s="1" t="s">
        <v>1808</v>
      </c>
      <c r="B26" s="8">
        <v>0.55277777777777781</v>
      </c>
      <c r="C26" t="s">
        <v>1511</v>
      </c>
      <c r="D26" s="1" t="s">
        <v>1896</v>
      </c>
      <c r="E26" t="s">
        <v>1539</v>
      </c>
      <c r="F26" s="1" t="s">
        <v>1541</v>
      </c>
      <c r="G26" s="10">
        <v>-60456.72</v>
      </c>
      <c r="H26" s="10">
        <v>4912</v>
      </c>
      <c r="I26" s="10">
        <v>550</v>
      </c>
      <c r="J26" s="10">
        <v>-42102.12</v>
      </c>
      <c r="K26" t="s">
        <v>1812</v>
      </c>
      <c r="L26" t="s">
        <v>395</v>
      </c>
      <c r="M26" t="s">
        <v>1821</v>
      </c>
      <c r="N26" t="s">
        <v>1811</v>
      </c>
    </row>
    <row r="27" spans="1:14" x14ac:dyDescent="0.25">
      <c r="A27" s="1" t="s">
        <v>1808</v>
      </c>
      <c r="B27" s="8">
        <v>0.55277777777777781</v>
      </c>
      <c r="C27" t="s">
        <v>1511</v>
      </c>
      <c r="D27" s="1" t="s">
        <v>1896</v>
      </c>
      <c r="E27" t="s">
        <v>1539</v>
      </c>
      <c r="F27" s="1" t="s">
        <v>1542</v>
      </c>
      <c r="G27" s="10">
        <v>53026.94</v>
      </c>
      <c r="H27" s="10">
        <v>28471.96</v>
      </c>
      <c r="I27" s="10">
        <v>75</v>
      </c>
      <c r="J27" s="10">
        <v>147276.908</v>
      </c>
      <c r="K27" t="s">
        <v>1810</v>
      </c>
      <c r="L27" t="s">
        <v>395</v>
      </c>
      <c r="M27" t="s">
        <v>1821</v>
      </c>
      <c r="N27" t="s">
        <v>1811</v>
      </c>
    </row>
    <row r="28" spans="1:14" x14ac:dyDescent="0.25">
      <c r="A28" s="1" t="s">
        <v>1808</v>
      </c>
      <c r="B28" s="8">
        <v>0.55277777777777781</v>
      </c>
      <c r="C28" t="s">
        <v>1511</v>
      </c>
      <c r="D28" s="1" t="s">
        <v>1896</v>
      </c>
      <c r="E28" t="s">
        <v>1539</v>
      </c>
      <c r="F28" s="1" t="s">
        <v>1543</v>
      </c>
      <c r="G28" s="10">
        <v>17913.939999999999</v>
      </c>
      <c r="H28" s="10">
        <v>10727</v>
      </c>
      <c r="I28" s="10" t="s">
        <v>1809</v>
      </c>
      <c r="J28" s="10">
        <v>53313.039999999994</v>
      </c>
      <c r="K28" t="s">
        <v>1810</v>
      </c>
      <c r="L28" t="s">
        <v>395</v>
      </c>
      <c r="M28" t="s">
        <v>1821</v>
      </c>
      <c r="N28" t="s">
        <v>1811</v>
      </c>
    </row>
    <row r="29" spans="1:14" x14ac:dyDescent="0.25">
      <c r="A29" s="1" t="s">
        <v>1808</v>
      </c>
      <c r="B29" s="8">
        <v>0.55277777777777781</v>
      </c>
      <c r="C29" t="s">
        <v>1511</v>
      </c>
      <c r="D29" s="1" t="s">
        <v>1896</v>
      </c>
      <c r="E29" t="s">
        <v>1539</v>
      </c>
      <c r="F29" s="1" t="s">
        <v>1544</v>
      </c>
      <c r="G29" s="10">
        <v>27741.21</v>
      </c>
      <c r="H29" s="10">
        <v>8686</v>
      </c>
      <c r="I29" s="10" t="s">
        <v>1809</v>
      </c>
      <c r="J29" s="10">
        <v>56405.009999999995</v>
      </c>
      <c r="K29" t="s">
        <v>1810</v>
      </c>
      <c r="L29" t="s">
        <v>395</v>
      </c>
      <c r="M29" t="s">
        <v>1821</v>
      </c>
      <c r="N29" t="s">
        <v>1811</v>
      </c>
    </row>
    <row r="30" spans="1:14" x14ac:dyDescent="0.25">
      <c r="A30" s="1" t="s">
        <v>1808</v>
      </c>
      <c r="B30" s="8">
        <v>0.55277777777777781</v>
      </c>
      <c r="C30" t="s">
        <v>1511</v>
      </c>
      <c r="D30" s="1" t="s">
        <v>1896</v>
      </c>
      <c r="E30" t="s">
        <v>1539</v>
      </c>
      <c r="F30" s="1" t="s">
        <v>1545</v>
      </c>
      <c r="G30" s="10">
        <v>20990</v>
      </c>
      <c r="H30" s="10">
        <v>10381</v>
      </c>
      <c r="I30" s="10" t="s">
        <v>1809</v>
      </c>
      <c r="J30" s="10">
        <v>55247.299999999996</v>
      </c>
      <c r="K30" t="s">
        <v>1810</v>
      </c>
      <c r="L30" t="s">
        <v>395</v>
      </c>
      <c r="M30" t="s">
        <v>1821</v>
      </c>
      <c r="N30" t="s">
        <v>1811</v>
      </c>
    </row>
    <row r="31" spans="1:14" x14ac:dyDescent="0.25">
      <c r="A31" s="1" t="s">
        <v>1808</v>
      </c>
      <c r="B31" s="8">
        <v>0.55277777777777781</v>
      </c>
      <c r="C31" t="s">
        <v>1511</v>
      </c>
      <c r="D31" s="1" t="s">
        <v>1896</v>
      </c>
      <c r="E31" t="s">
        <v>1539</v>
      </c>
      <c r="F31" s="1" t="s">
        <v>1546</v>
      </c>
      <c r="G31" s="10">
        <v>26112.71</v>
      </c>
      <c r="H31" s="10">
        <v>9516</v>
      </c>
      <c r="I31" s="10">
        <v>200</v>
      </c>
      <c r="J31" s="10">
        <v>58295.509999999995</v>
      </c>
      <c r="K31" t="s">
        <v>1810</v>
      </c>
      <c r="L31" t="s">
        <v>395</v>
      </c>
      <c r="M31" t="s">
        <v>1821</v>
      </c>
      <c r="N31" t="s">
        <v>1811</v>
      </c>
    </row>
    <row r="32" spans="1:14" x14ac:dyDescent="0.25">
      <c r="A32" s="1" t="s">
        <v>1808</v>
      </c>
      <c r="B32" s="8">
        <v>0.55277777777777781</v>
      </c>
      <c r="C32" t="s">
        <v>1511</v>
      </c>
      <c r="D32" s="1" t="s">
        <v>1896</v>
      </c>
      <c r="E32" t="s">
        <v>1539</v>
      </c>
      <c r="F32" s="1" t="s">
        <v>1547</v>
      </c>
      <c r="G32" s="10">
        <v>4907.13</v>
      </c>
      <c r="H32" s="10">
        <v>7450</v>
      </c>
      <c r="I32" s="10">
        <v>440</v>
      </c>
      <c r="J32" s="10">
        <v>31208.13</v>
      </c>
      <c r="K32" t="s">
        <v>1810</v>
      </c>
      <c r="L32" t="s">
        <v>395</v>
      </c>
      <c r="M32" t="s">
        <v>1821</v>
      </c>
      <c r="N32" t="s">
        <v>1811</v>
      </c>
    </row>
    <row r="33" spans="1:14" x14ac:dyDescent="0.25">
      <c r="A33" s="1" t="s">
        <v>1808</v>
      </c>
      <c r="B33" s="8">
        <v>0.55277777777777781</v>
      </c>
      <c r="C33" t="s">
        <v>1511</v>
      </c>
      <c r="D33" s="1" t="s">
        <v>1897</v>
      </c>
      <c r="E33" t="s">
        <v>1548</v>
      </c>
      <c r="F33" s="1" t="s">
        <v>1549</v>
      </c>
      <c r="G33" s="10">
        <v>39237.49</v>
      </c>
      <c r="H33" s="10">
        <v>709</v>
      </c>
      <c r="I33" s="10" t="s">
        <v>1809</v>
      </c>
      <c r="J33" s="10">
        <v>41577.189999999995</v>
      </c>
      <c r="K33" t="s">
        <v>1810</v>
      </c>
      <c r="L33" t="s">
        <v>838</v>
      </c>
      <c r="M33" t="s">
        <v>1822</v>
      </c>
      <c r="N33" t="s">
        <v>1811</v>
      </c>
    </row>
    <row r="34" spans="1:14" x14ac:dyDescent="0.25">
      <c r="A34" s="1" t="s">
        <v>1808</v>
      </c>
      <c r="B34" s="8">
        <v>0.55347222222222225</v>
      </c>
      <c r="C34" t="s">
        <v>1511</v>
      </c>
      <c r="D34" s="1" t="s">
        <v>1897</v>
      </c>
      <c r="E34" t="s">
        <v>1548</v>
      </c>
      <c r="F34" s="1" t="s">
        <v>1550</v>
      </c>
      <c r="G34" s="10">
        <v>14385.99</v>
      </c>
      <c r="H34" s="10">
        <v>4716</v>
      </c>
      <c r="I34" s="10" t="s">
        <v>1809</v>
      </c>
      <c r="J34" s="10">
        <v>29948.79</v>
      </c>
      <c r="K34" t="s">
        <v>1810</v>
      </c>
      <c r="L34" t="s">
        <v>838</v>
      </c>
      <c r="M34" t="s">
        <v>1822</v>
      </c>
      <c r="N34" t="s">
        <v>1811</v>
      </c>
    </row>
    <row r="35" spans="1:14" x14ac:dyDescent="0.25">
      <c r="A35" s="1" t="s">
        <v>1808</v>
      </c>
      <c r="B35" s="8">
        <v>0.55347222222222225</v>
      </c>
      <c r="C35" t="s">
        <v>1511</v>
      </c>
      <c r="D35" s="1" t="s">
        <v>1897</v>
      </c>
      <c r="E35" t="s">
        <v>1548</v>
      </c>
      <c r="F35" s="1" t="s">
        <v>1551</v>
      </c>
      <c r="G35" s="10">
        <v>40728.26</v>
      </c>
      <c r="H35" s="10">
        <v>742</v>
      </c>
      <c r="I35" s="10" t="s">
        <v>1809</v>
      </c>
      <c r="J35" s="10">
        <v>43176.86</v>
      </c>
      <c r="K35" t="s">
        <v>1810</v>
      </c>
      <c r="L35" t="s">
        <v>838</v>
      </c>
      <c r="M35" t="s">
        <v>1822</v>
      </c>
      <c r="N35" t="s">
        <v>1811</v>
      </c>
    </row>
    <row r="36" spans="1:14" x14ac:dyDescent="0.25">
      <c r="A36" s="1" t="s">
        <v>1808</v>
      </c>
      <c r="B36" s="8">
        <v>0.55347222222222225</v>
      </c>
      <c r="C36" t="s">
        <v>1511</v>
      </c>
      <c r="D36" s="1" t="s">
        <v>1897</v>
      </c>
      <c r="E36" t="s">
        <v>1548</v>
      </c>
      <c r="F36" s="1" t="s">
        <v>1552</v>
      </c>
      <c r="G36" s="10">
        <v>21162.67</v>
      </c>
      <c r="H36" s="10">
        <v>418</v>
      </c>
      <c r="I36" s="10" t="s">
        <v>1809</v>
      </c>
      <c r="J36" s="10">
        <v>22542.07</v>
      </c>
      <c r="K36" t="s">
        <v>1810</v>
      </c>
      <c r="L36" t="s">
        <v>838</v>
      </c>
      <c r="M36" t="s">
        <v>1822</v>
      </c>
      <c r="N36" t="s">
        <v>1811</v>
      </c>
    </row>
    <row r="37" spans="1:14" x14ac:dyDescent="0.25">
      <c r="A37" s="1" t="s">
        <v>1808</v>
      </c>
      <c r="B37" s="8">
        <v>0.55347222222222225</v>
      </c>
      <c r="C37" t="s">
        <v>1511</v>
      </c>
      <c r="D37" s="1" t="s">
        <v>1898</v>
      </c>
      <c r="E37" t="s">
        <v>1553</v>
      </c>
      <c r="F37" s="1" t="s">
        <v>1554</v>
      </c>
      <c r="G37" s="10">
        <v>4062.6</v>
      </c>
      <c r="H37" s="10">
        <v>512</v>
      </c>
      <c r="I37" s="10" t="s">
        <v>1809</v>
      </c>
      <c r="J37" s="10">
        <v>5752.2</v>
      </c>
      <c r="K37" t="s">
        <v>1810</v>
      </c>
      <c r="L37" t="s">
        <v>383</v>
      </c>
      <c r="M37" t="s">
        <v>1823</v>
      </c>
      <c r="N37" t="s">
        <v>1811</v>
      </c>
    </row>
    <row r="38" spans="1:14" x14ac:dyDescent="0.25">
      <c r="A38" s="1" t="s">
        <v>1808</v>
      </c>
      <c r="B38" s="8">
        <v>0.55347222222222225</v>
      </c>
      <c r="C38" t="s">
        <v>1511</v>
      </c>
      <c r="D38" s="1" t="s">
        <v>1898</v>
      </c>
      <c r="E38" t="s">
        <v>1553</v>
      </c>
      <c r="F38" s="1" t="s">
        <v>1555</v>
      </c>
      <c r="G38" s="10">
        <v>132904.01</v>
      </c>
      <c r="H38" s="10">
        <v>1139</v>
      </c>
      <c r="I38" s="10" t="s">
        <v>1809</v>
      </c>
      <c r="J38" s="10">
        <v>136662.71000000002</v>
      </c>
      <c r="K38" t="s">
        <v>1810</v>
      </c>
      <c r="L38" t="s">
        <v>383</v>
      </c>
      <c r="M38" t="s">
        <v>1823</v>
      </c>
      <c r="N38" t="s">
        <v>1811</v>
      </c>
    </row>
    <row r="39" spans="1:14" x14ac:dyDescent="0.25">
      <c r="A39" s="1" t="s">
        <v>1808</v>
      </c>
      <c r="B39" s="8">
        <v>0.55347222222222225</v>
      </c>
      <c r="C39" t="s">
        <v>1511</v>
      </c>
      <c r="D39" s="1" t="s">
        <v>1898</v>
      </c>
      <c r="E39" t="s">
        <v>1553</v>
      </c>
      <c r="F39" s="1" t="s">
        <v>1556</v>
      </c>
      <c r="G39" s="10">
        <v>12645</v>
      </c>
      <c r="H39" s="10" t="s">
        <v>1809</v>
      </c>
      <c r="I39" s="10" t="s">
        <v>1809</v>
      </c>
      <c r="J39" s="10">
        <v>12645</v>
      </c>
      <c r="K39" t="s">
        <v>1810</v>
      </c>
      <c r="L39" t="s">
        <v>383</v>
      </c>
      <c r="M39" t="s">
        <v>1823</v>
      </c>
      <c r="N39" t="s">
        <v>1811</v>
      </c>
    </row>
    <row r="40" spans="1:14" x14ac:dyDescent="0.25">
      <c r="A40" s="1" t="s">
        <v>1808</v>
      </c>
      <c r="B40" s="8">
        <v>0.55347222222222225</v>
      </c>
      <c r="C40" t="s">
        <v>1511</v>
      </c>
      <c r="D40" s="1" t="s">
        <v>1898</v>
      </c>
      <c r="E40" t="s">
        <v>1553</v>
      </c>
      <c r="F40" s="1" t="s">
        <v>1557</v>
      </c>
      <c r="G40" s="10">
        <v>170637.96</v>
      </c>
      <c r="H40" s="10">
        <v>10025</v>
      </c>
      <c r="I40" s="10" t="s">
        <v>1809</v>
      </c>
      <c r="J40" s="10">
        <v>203720.46</v>
      </c>
      <c r="K40" t="s">
        <v>1813</v>
      </c>
      <c r="L40" t="s">
        <v>383</v>
      </c>
      <c r="M40" t="s">
        <v>1823</v>
      </c>
      <c r="N40" t="s">
        <v>1811</v>
      </c>
    </row>
    <row r="41" spans="1:14" x14ac:dyDescent="0.25">
      <c r="A41" s="1" t="s">
        <v>1808</v>
      </c>
      <c r="B41" s="8">
        <v>0.55347222222222225</v>
      </c>
      <c r="C41" t="s">
        <v>1511</v>
      </c>
      <c r="D41" s="1" t="s">
        <v>1899</v>
      </c>
      <c r="E41" t="s">
        <v>1558</v>
      </c>
      <c r="F41" s="1">
        <v>7221</v>
      </c>
      <c r="G41" s="10">
        <v>59386.02</v>
      </c>
      <c r="H41" s="10">
        <v>1307</v>
      </c>
      <c r="I41" s="10" t="s">
        <v>1809</v>
      </c>
      <c r="J41" s="10">
        <v>63699.119999999995</v>
      </c>
      <c r="K41" t="s">
        <v>1810</v>
      </c>
      <c r="L41" t="s">
        <v>363</v>
      </c>
      <c r="M41" t="s">
        <v>1824</v>
      </c>
      <c r="N41" t="s">
        <v>1811</v>
      </c>
    </row>
    <row r="42" spans="1:14" x14ac:dyDescent="0.25">
      <c r="A42" s="1" t="s">
        <v>1808</v>
      </c>
      <c r="B42" s="8">
        <v>0.55347222222222225</v>
      </c>
      <c r="C42" t="s">
        <v>1511</v>
      </c>
      <c r="D42" s="1" t="s">
        <v>1899</v>
      </c>
      <c r="E42" t="s">
        <v>1558</v>
      </c>
      <c r="F42" s="1">
        <v>7222</v>
      </c>
      <c r="G42" s="10">
        <v>18482.2</v>
      </c>
      <c r="H42" s="10">
        <v>1024</v>
      </c>
      <c r="I42" s="10" t="s">
        <v>1809</v>
      </c>
      <c r="J42" s="10">
        <v>21861.4</v>
      </c>
      <c r="K42" t="s">
        <v>1810</v>
      </c>
      <c r="L42" t="s">
        <v>363</v>
      </c>
      <c r="M42" t="s">
        <v>1824</v>
      </c>
      <c r="N42" t="s">
        <v>1811</v>
      </c>
    </row>
    <row r="43" spans="1:14" x14ac:dyDescent="0.25">
      <c r="A43" s="1" t="s">
        <v>1808</v>
      </c>
      <c r="B43" s="8">
        <v>0.5541666666666667</v>
      </c>
      <c r="C43" t="s">
        <v>1511</v>
      </c>
      <c r="D43" s="1" t="s">
        <v>1899</v>
      </c>
      <c r="E43" t="s">
        <v>1558</v>
      </c>
      <c r="F43" s="1">
        <v>7223</v>
      </c>
      <c r="G43" s="10">
        <v>42676.959999999999</v>
      </c>
      <c r="H43" s="10">
        <v>2963</v>
      </c>
      <c r="I43" s="10" t="s">
        <v>1809</v>
      </c>
      <c r="J43" s="10">
        <v>52454.86</v>
      </c>
      <c r="K43" t="s">
        <v>1810</v>
      </c>
      <c r="L43" t="s">
        <v>363</v>
      </c>
      <c r="M43" t="s">
        <v>1824</v>
      </c>
      <c r="N43" t="s">
        <v>1811</v>
      </c>
    </row>
    <row r="44" spans="1:14" x14ac:dyDescent="0.25">
      <c r="A44" s="1" t="s">
        <v>1808</v>
      </c>
      <c r="B44" s="8">
        <v>0.5541666666666667</v>
      </c>
      <c r="C44" t="s">
        <v>1511</v>
      </c>
      <c r="D44" s="1" t="s">
        <v>1899</v>
      </c>
      <c r="E44" t="s">
        <v>1558</v>
      </c>
      <c r="F44" s="1">
        <v>7224</v>
      </c>
      <c r="G44" s="10">
        <v>24583.59</v>
      </c>
      <c r="H44" s="10">
        <v>10770</v>
      </c>
      <c r="I44" s="10" t="s">
        <v>1809</v>
      </c>
      <c r="J44" s="10">
        <v>60124.59</v>
      </c>
      <c r="K44" t="s">
        <v>1810</v>
      </c>
      <c r="L44" t="s">
        <v>363</v>
      </c>
      <c r="M44" t="s">
        <v>1824</v>
      </c>
      <c r="N44" t="s">
        <v>1811</v>
      </c>
    </row>
    <row r="45" spans="1:14" x14ac:dyDescent="0.25">
      <c r="A45" s="1" t="s">
        <v>1808</v>
      </c>
      <c r="B45" s="8">
        <v>0.5541666666666667</v>
      </c>
      <c r="C45" t="s">
        <v>1511</v>
      </c>
      <c r="D45" s="1" t="s">
        <v>1900</v>
      </c>
      <c r="E45" t="s">
        <v>1559</v>
      </c>
      <c r="F45" s="1" t="s">
        <v>1560</v>
      </c>
      <c r="G45" s="10">
        <v>-903.11</v>
      </c>
      <c r="H45" s="10">
        <v>10954</v>
      </c>
      <c r="I45" s="10" t="s">
        <v>1809</v>
      </c>
      <c r="J45" s="10">
        <v>35245.089999999997</v>
      </c>
      <c r="K45" t="s">
        <v>1812</v>
      </c>
      <c r="L45" t="s">
        <v>1075</v>
      </c>
      <c r="M45" t="s">
        <v>1825</v>
      </c>
      <c r="N45" t="s">
        <v>1811</v>
      </c>
    </row>
    <row r="46" spans="1:14" x14ac:dyDescent="0.25">
      <c r="A46" s="1" t="s">
        <v>1808</v>
      </c>
      <c r="B46" s="8">
        <v>0.5541666666666667</v>
      </c>
      <c r="C46" t="s">
        <v>1511</v>
      </c>
      <c r="D46" s="1" t="s">
        <v>1900</v>
      </c>
      <c r="E46" t="s">
        <v>1559</v>
      </c>
      <c r="F46" s="1" t="s">
        <v>1561</v>
      </c>
      <c r="G46" s="10">
        <v>5606.55</v>
      </c>
      <c r="H46" s="10">
        <v>744</v>
      </c>
      <c r="I46" s="10" t="s">
        <v>1809</v>
      </c>
      <c r="J46" s="10">
        <v>8061.75</v>
      </c>
      <c r="K46" t="s">
        <v>1810</v>
      </c>
      <c r="L46" t="s">
        <v>1075</v>
      </c>
      <c r="M46" t="s">
        <v>1825</v>
      </c>
      <c r="N46" t="s">
        <v>1811</v>
      </c>
    </row>
    <row r="47" spans="1:14" x14ac:dyDescent="0.25">
      <c r="A47" s="1" t="s">
        <v>1808</v>
      </c>
      <c r="B47" s="8">
        <v>0.5541666666666667</v>
      </c>
      <c r="C47" t="s">
        <v>1511</v>
      </c>
      <c r="D47" s="1" t="s">
        <v>1900</v>
      </c>
      <c r="E47" t="s">
        <v>1559</v>
      </c>
      <c r="F47" s="1" t="s">
        <v>1562</v>
      </c>
      <c r="G47" s="10">
        <v>50689.48</v>
      </c>
      <c r="H47" s="10">
        <v>2405</v>
      </c>
      <c r="I47" s="10" t="s">
        <v>1809</v>
      </c>
      <c r="J47" s="10">
        <v>58625.98</v>
      </c>
      <c r="K47" t="s">
        <v>1810</v>
      </c>
      <c r="L47" t="s">
        <v>1075</v>
      </c>
      <c r="M47" t="s">
        <v>1825</v>
      </c>
      <c r="N47" t="s">
        <v>1811</v>
      </c>
    </row>
    <row r="48" spans="1:14" x14ac:dyDescent="0.25">
      <c r="A48" s="1" t="s">
        <v>1808</v>
      </c>
      <c r="B48" s="8">
        <v>0.5541666666666667</v>
      </c>
      <c r="C48" t="s">
        <v>1511</v>
      </c>
      <c r="D48" s="1" t="s">
        <v>1900</v>
      </c>
      <c r="E48" t="s">
        <v>1559</v>
      </c>
      <c r="F48" s="1" t="s">
        <v>1563</v>
      </c>
      <c r="G48" s="10">
        <v>14598.57</v>
      </c>
      <c r="H48" s="10">
        <v>2306</v>
      </c>
      <c r="I48" s="10" t="s">
        <v>1809</v>
      </c>
      <c r="J48" s="10">
        <v>22208.37</v>
      </c>
      <c r="K48" t="s">
        <v>1810</v>
      </c>
      <c r="L48" t="s">
        <v>1075</v>
      </c>
      <c r="M48" t="s">
        <v>1825</v>
      </c>
      <c r="N48" t="s">
        <v>1811</v>
      </c>
    </row>
    <row r="49" spans="1:14" x14ac:dyDescent="0.25">
      <c r="A49" s="1" t="s">
        <v>1808</v>
      </c>
      <c r="B49" s="8">
        <v>0.5541666666666667</v>
      </c>
      <c r="C49" t="s">
        <v>1511</v>
      </c>
      <c r="D49" s="1" t="s">
        <v>1900</v>
      </c>
      <c r="E49" t="s">
        <v>1559</v>
      </c>
      <c r="F49" s="1" t="s">
        <v>1564</v>
      </c>
      <c r="G49" s="10">
        <v>4168.67</v>
      </c>
      <c r="H49" s="10">
        <v>4608</v>
      </c>
      <c r="I49" s="10" t="s">
        <v>1809</v>
      </c>
      <c r="J49" s="10">
        <v>19375.07</v>
      </c>
      <c r="K49" t="s">
        <v>1810</v>
      </c>
      <c r="L49" t="s">
        <v>1075</v>
      </c>
      <c r="M49" t="s">
        <v>1825</v>
      </c>
      <c r="N49" t="s">
        <v>1811</v>
      </c>
    </row>
    <row r="50" spans="1:14" x14ac:dyDescent="0.25">
      <c r="A50" s="1" t="s">
        <v>1808</v>
      </c>
      <c r="B50" s="8">
        <v>0.5541666666666667</v>
      </c>
      <c r="C50" t="s">
        <v>1511</v>
      </c>
      <c r="D50" s="1" t="s">
        <v>1901</v>
      </c>
      <c r="E50" t="s">
        <v>1565</v>
      </c>
      <c r="F50" s="1" t="s">
        <v>1566</v>
      </c>
      <c r="G50" s="10">
        <v>123710.01</v>
      </c>
      <c r="H50" s="10">
        <v>2241.8200000000002</v>
      </c>
      <c r="I50" s="10" t="s">
        <v>1809</v>
      </c>
      <c r="J50" s="10">
        <v>131108.016</v>
      </c>
      <c r="K50" t="s">
        <v>1810</v>
      </c>
      <c r="L50" t="s">
        <v>536</v>
      </c>
      <c r="M50" t="s">
        <v>1826</v>
      </c>
      <c r="N50" t="s">
        <v>1811</v>
      </c>
    </row>
    <row r="51" spans="1:14" x14ac:dyDescent="0.25">
      <c r="A51" s="1" t="s">
        <v>1808</v>
      </c>
      <c r="B51" s="8">
        <v>0.5541666666666667</v>
      </c>
      <c r="C51" t="s">
        <v>1511</v>
      </c>
      <c r="D51" s="1" t="s">
        <v>1901</v>
      </c>
      <c r="E51" t="s">
        <v>1565</v>
      </c>
      <c r="F51" s="1" t="s">
        <v>1567</v>
      </c>
      <c r="G51" s="10">
        <v>0</v>
      </c>
      <c r="H51" s="10" t="s">
        <v>1809</v>
      </c>
      <c r="I51" s="10" t="s">
        <v>1809</v>
      </c>
      <c r="J51" s="10">
        <v>0</v>
      </c>
      <c r="K51" t="s">
        <v>1810</v>
      </c>
      <c r="L51" t="s">
        <v>536</v>
      </c>
      <c r="M51" t="s">
        <v>1826</v>
      </c>
      <c r="N51" t="s">
        <v>1811</v>
      </c>
    </row>
    <row r="52" spans="1:14" x14ac:dyDescent="0.25">
      <c r="A52" s="1" t="s">
        <v>1808</v>
      </c>
      <c r="B52" s="8">
        <v>0.55486111111111114</v>
      </c>
      <c r="C52" t="s">
        <v>1511</v>
      </c>
      <c r="D52" s="1" t="s">
        <v>1901</v>
      </c>
      <c r="E52" t="s">
        <v>1565</v>
      </c>
      <c r="F52" s="1" t="s">
        <v>1568</v>
      </c>
      <c r="G52" s="10">
        <v>54511.66</v>
      </c>
      <c r="H52" s="10">
        <v>11152</v>
      </c>
      <c r="I52" s="10">
        <v>4645</v>
      </c>
      <c r="J52" s="10">
        <v>109428.76000000001</v>
      </c>
      <c r="K52" t="s">
        <v>1810</v>
      </c>
      <c r="L52" t="s">
        <v>536</v>
      </c>
      <c r="M52" t="s">
        <v>1826</v>
      </c>
      <c r="N52" t="s">
        <v>1811</v>
      </c>
    </row>
    <row r="53" spans="1:14" x14ac:dyDescent="0.25">
      <c r="A53" s="1" t="s">
        <v>1808</v>
      </c>
      <c r="B53" s="8">
        <v>0.55486111111111114</v>
      </c>
      <c r="C53" t="s">
        <v>1511</v>
      </c>
      <c r="D53" s="1" t="s">
        <v>1901</v>
      </c>
      <c r="E53" t="s">
        <v>1565</v>
      </c>
      <c r="F53" s="1" t="s">
        <v>1569</v>
      </c>
      <c r="G53" s="10">
        <v>90483.59</v>
      </c>
      <c r="H53" s="10">
        <v>7739</v>
      </c>
      <c r="I53" s="10" t="s">
        <v>1809</v>
      </c>
      <c r="J53" s="10">
        <v>116022.29</v>
      </c>
      <c r="K53" t="s">
        <v>1810</v>
      </c>
      <c r="L53" t="s">
        <v>536</v>
      </c>
      <c r="M53" t="s">
        <v>1826</v>
      </c>
      <c r="N53" t="s">
        <v>1811</v>
      </c>
    </row>
    <row r="54" spans="1:14" x14ac:dyDescent="0.25">
      <c r="A54" s="1" t="s">
        <v>1808</v>
      </c>
      <c r="B54" s="8">
        <v>0.55486111111111114</v>
      </c>
      <c r="C54" t="s">
        <v>1511</v>
      </c>
      <c r="D54" s="1" t="s">
        <v>1901</v>
      </c>
      <c r="E54" t="s">
        <v>1565</v>
      </c>
      <c r="F54" s="1" t="s">
        <v>1570</v>
      </c>
      <c r="G54" s="10">
        <v>10942.8</v>
      </c>
      <c r="H54" s="10">
        <v>14133</v>
      </c>
      <c r="I54" s="10" t="s">
        <v>1809</v>
      </c>
      <c r="J54" s="10">
        <v>57581.7</v>
      </c>
      <c r="K54" t="s">
        <v>1810</v>
      </c>
      <c r="L54" t="s">
        <v>536</v>
      </c>
      <c r="M54" t="s">
        <v>1826</v>
      </c>
      <c r="N54" t="s">
        <v>1811</v>
      </c>
    </row>
    <row r="55" spans="1:14" x14ac:dyDescent="0.25">
      <c r="A55" s="1" t="s">
        <v>1808</v>
      </c>
      <c r="B55" s="8">
        <v>0.55486111111111114</v>
      </c>
      <c r="C55" t="s">
        <v>1511</v>
      </c>
      <c r="D55" s="1" t="s">
        <v>1902</v>
      </c>
      <c r="E55" t="s">
        <v>1571</v>
      </c>
      <c r="F55" s="1" t="s">
        <v>1572</v>
      </c>
      <c r="G55" s="10">
        <v>48667.81</v>
      </c>
      <c r="H55" s="10">
        <v>740</v>
      </c>
      <c r="I55" s="10" t="s">
        <v>1809</v>
      </c>
      <c r="J55" s="10">
        <v>51109.81</v>
      </c>
      <c r="K55" t="s">
        <v>1810</v>
      </c>
      <c r="L55" t="s">
        <v>1391</v>
      </c>
      <c r="M55" t="s">
        <v>1827</v>
      </c>
      <c r="N55" t="s">
        <v>1811</v>
      </c>
    </row>
    <row r="56" spans="1:14" x14ac:dyDescent="0.25">
      <c r="A56" s="1" t="s">
        <v>1808</v>
      </c>
      <c r="B56" s="8">
        <v>0.55486111111111114</v>
      </c>
      <c r="C56" t="s">
        <v>1511</v>
      </c>
      <c r="D56" s="1" t="s">
        <v>1902</v>
      </c>
      <c r="E56" t="s">
        <v>1571</v>
      </c>
      <c r="F56" s="1" t="s">
        <v>1573</v>
      </c>
      <c r="G56" s="10">
        <v>48099.05</v>
      </c>
      <c r="H56" s="10">
        <v>536</v>
      </c>
      <c r="I56" s="10" t="s">
        <v>1809</v>
      </c>
      <c r="J56" s="10">
        <v>49867.850000000006</v>
      </c>
      <c r="K56" t="s">
        <v>1810</v>
      </c>
      <c r="L56" t="s">
        <v>1391</v>
      </c>
      <c r="M56" t="s">
        <v>1827</v>
      </c>
      <c r="N56" t="s">
        <v>1811</v>
      </c>
    </row>
    <row r="57" spans="1:14" x14ac:dyDescent="0.25">
      <c r="A57" s="1" t="s">
        <v>1808</v>
      </c>
      <c r="B57" s="8">
        <v>0.55486111111111114</v>
      </c>
      <c r="C57" t="s">
        <v>1511</v>
      </c>
      <c r="D57" s="1" t="s">
        <v>1902</v>
      </c>
      <c r="E57" t="s">
        <v>1571</v>
      </c>
      <c r="F57" s="1" t="s">
        <v>1574</v>
      </c>
      <c r="G57" s="10">
        <v>35982.67</v>
      </c>
      <c r="H57" s="10">
        <v>3337</v>
      </c>
      <c r="I57" s="10" t="s">
        <v>1809</v>
      </c>
      <c r="J57" s="10">
        <v>46994.77</v>
      </c>
      <c r="K57" t="s">
        <v>1810</v>
      </c>
      <c r="L57" t="s">
        <v>1391</v>
      </c>
      <c r="M57" t="s">
        <v>1827</v>
      </c>
      <c r="N57" t="s">
        <v>1811</v>
      </c>
    </row>
    <row r="58" spans="1:14" x14ac:dyDescent="0.25">
      <c r="A58" s="1" t="s">
        <v>1808</v>
      </c>
      <c r="B58" s="8">
        <v>0.55486111111111114</v>
      </c>
      <c r="C58" t="s">
        <v>1511</v>
      </c>
      <c r="D58" s="1" t="s">
        <v>1902</v>
      </c>
      <c r="E58" t="s">
        <v>1571</v>
      </c>
      <c r="F58" s="1" t="s">
        <v>1575</v>
      </c>
      <c r="G58" s="10">
        <v>16184.82</v>
      </c>
      <c r="H58" s="10">
        <v>2770</v>
      </c>
      <c r="I58" s="10" t="s">
        <v>1809</v>
      </c>
      <c r="J58" s="10">
        <v>25325.82</v>
      </c>
      <c r="K58" t="s">
        <v>1810</v>
      </c>
      <c r="L58" t="s">
        <v>1391</v>
      </c>
      <c r="M58" t="s">
        <v>1827</v>
      </c>
      <c r="N58" t="s">
        <v>1811</v>
      </c>
    </row>
    <row r="59" spans="1:14" x14ac:dyDescent="0.25">
      <c r="A59" s="1" t="s">
        <v>1808</v>
      </c>
      <c r="B59" s="8">
        <v>0.55486111111111114</v>
      </c>
      <c r="C59" t="s">
        <v>1511</v>
      </c>
      <c r="D59" s="1" t="s">
        <v>1903</v>
      </c>
      <c r="E59" t="s">
        <v>1576</v>
      </c>
      <c r="F59" s="1" t="s">
        <v>1577</v>
      </c>
      <c r="G59" s="10">
        <v>256.45</v>
      </c>
      <c r="H59" s="10">
        <v>9053</v>
      </c>
      <c r="I59" s="10" t="s">
        <v>1809</v>
      </c>
      <c r="J59" s="10">
        <v>30131.35</v>
      </c>
      <c r="K59" t="s">
        <v>1810</v>
      </c>
      <c r="L59" t="s">
        <v>399</v>
      </c>
      <c r="M59" t="s">
        <v>1828</v>
      </c>
      <c r="N59" t="s">
        <v>1811</v>
      </c>
    </row>
    <row r="60" spans="1:14" x14ac:dyDescent="0.25">
      <c r="A60" s="1" t="s">
        <v>1808</v>
      </c>
      <c r="B60" s="8">
        <v>0.55555555555555558</v>
      </c>
      <c r="C60" t="s">
        <v>1511</v>
      </c>
      <c r="D60" s="1" t="s">
        <v>1903</v>
      </c>
      <c r="E60" t="s">
        <v>1576</v>
      </c>
      <c r="F60" s="1" t="s">
        <v>1578</v>
      </c>
      <c r="G60" s="10">
        <v>71188.539999999994</v>
      </c>
      <c r="H60" s="10">
        <v>5611</v>
      </c>
      <c r="I60" s="10" t="s">
        <v>1809</v>
      </c>
      <c r="J60" s="10">
        <v>89704.84</v>
      </c>
      <c r="K60" t="s">
        <v>1810</v>
      </c>
      <c r="L60" t="s">
        <v>399</v>
      </c>
      <c r="M60" t="s">
        <v>1828</v>
      </c>
      <c r="N60" t="s">
        <v>1811</v>
      </c>
    </row>
    <row r="61" spans="1:14" x14ac:dyDescent="0.25">
      <c r="A61" s="1" t="s">
        <v>1808</v>
      </c>
      <c r="B61" s="8">
        <v>0.55555555555555558</v>
      </c>
      <c r="C61" t="s">
        <v>1511</v>
      </c>
      <c r="D61" s="1" t="s">
        <v>1903</v>
      </c>
      <c r="E61" t="s">
        <v>1576</v>
      </c>
      <c r="F61" s="1" t="s">
        <v>1579</v>
      </c>
      <c r="G61" s="10">
        <v>6564.15</v>
      </c>
      <c r="H61" s="10">
        <v>3988</v>
      </c>
      <c r="I61" s="10" t="s">
        <v>1809</v>
      </c>
      <c r="J61" s="10">
        <v>19724.55</v>
      </c>
      <c r="K61" t="s">
        <v>1810</v>
      </c>
      <c r="L61" t="s">
        <v>399</v>
      </c>
      <c r="M61" t="s">
        <v>1828</v>
      </c>
      <c r="N61" t="s">
        <v>1811</v>
      </c>
    </row>
    <row r="62" spans="1:14" x14ac:dyDescent="0.25">
      <c r="A62" s="1" t="s">
        <v>1808</v>
      </c>
      <c r="B62" s="8">
        <v>0.55555555555555558</v>
      </c>
      <c r="C62" t="s">
        <v>1511</v>
      </c>
      <c r="D62" s="1" t="s">
        <v>1904</v>
      </c>
      <c r="E62" t="s">
        <v>1580</v>
      </c>
      <c r="F62" s="1" t="s">
        <v>1581</v>
      </c>
      <c r="G62" s="10">
        <v>15107.4</v>
      </c>
      <c r="H62" s="10">
        <v>10724</v>
      </c>
      <c r="I62" s="10" t="s">
        <v>1809</v>
      </c>
      <c r="J62" s="10">
        <v>50496.6</v>
      </c>
      <c r="K62" t="s">
        <v>1810</v>
      </c>
      <c r="L62" t="s">
        <v>1172</v>
      </c>
      <c r="M62" t="s">
        <v>1829</v>
      </c>
      <c r="N62" t="s">
        <v>1811</v>
      </c>
    </row>
    <row r="63" spans="1:14" x14ac:dyDescent="0.25">
      <c r="A63" s="1" t="s">
        <v>1808</v>
      </c>
      <c r="B63" s="8">
        <v>0.55555555555555558</v>
      </c>
      <c r="C63" t="s">
        <v>1511</v>
      </c>
      <c r="D63" s="1" t="s">
        <v>1904</v>
      </c>
      <c r="E63" t="s">
        <v>1580</v>
      </c>
      <c r="F63" s="1" t="s">
        <v>1582</v>
      </c>
      <c r="G63" s="10">
        <v>58585.52</v>
      </c>
      <c r="H63" s="10">
        <v>5872</v>
      </c>
      <c r="I63" s="10" t="s">
        <v>1809</v>
      </c>
      <c r="J63" s="10">
        <v>77963.12</v>
      </c>
      <c r="K63" t="s">
        <v>1810</v>
      </c>
      <c r="L63" t="s">
        <v>1172</v>
      </c>
      <c r="M63" t="s">
        <v>1829</v>
      </c>
      <c r="N63" t="s">
        <v>1811</v>
      </c>
    </row>
    <row r="64" spans="1:14" x14ac:dyDescent="0.25">
      <c r="A64" s="1" t="s">
        <v>1808</v>
      </c>
      <c r="B64" s="8">
        <v>0.55555555555555558</v>
      </c>
      <c r="C64" t="s">
        <v>1511</v>
      </c>
      <c r="D64" s="1" t="s">
        <v>1904</v>
      </c>
      <c r="E64" t="s">
        <v>1580</v>
      </c>
      <c r="F64" s="1" t="s">
        <v>1583</v>
      </c>
      <c r="G64" s="10">
        <v>186202.23</v>
      </c>
      <c r="H64" s="10">
        <v>1142</v>
      </c>
      <c r="I64" s="10" t="s">
        <v>1809</v>
      </c>
      <c r="J64" s="10">
        <v>189970.83000000002</v>
      </c>
      <c r="K64" t="s">
        <v>1813</v>
      </c>
      <c r="L64" t="s">
        <v>1172</v>
      </c>
      <c r="M64" t="s">
        <v>1829</v>
      </c>
      <c r="N64" t="s">
        <v>1811</v>
      </c>
    </row>
    <row r="65" spans="1:14" x14ac:dyDescent="0.25">
      <c r="A65" s="1" t="s">
        <v>1808</v>
      </c>
      <c r="B65" s="8">
        <v>0.55555555555555558</v>
      </c>
      <c r="C65" t="s">
        <v>1511</v>
      </c>
      <c r="D65" s="1" t="s">
        <v>1905</v>
      </c>
      <c r="E65" t="s">
        <v>1584</v>
      </c>
      <c r="F65" s="1" t="s">
        <v>1585</v>
      </c>
      <c r="G65" s="10">
        <v>26562.95</v>
      </c>
      <c r="H65" s="10">
        <v>17280</v>
      </c>
      <c r="I65" s="10" t="s">
        <v>1809</v>
      </c>
      <c r="J65" s="10">
        <v>83586.95</v>
      </c>
      <c r="K65" t="s">
        <v>1810</v>
      </c>
      <c r="L65" t="s">
        <v>347</v>
      </c>
      <c r="M65" t="s">
        <v>1830</v>
      </c>
      <c r="N65" t="s">
        <v>1811</v>
      </c>
    </row>
    <row r="66" spans="1:14" x14ac:dyDescent="0.25">
      <c r="A66" s="1" t="s">
        <v>1808</v>
      </c>
      <c r="B66" s="8">
        <v>0.55555555555555558</v>
      </c>
      <c r="C66" t="s">
        <v>1511</v>
      </c>
      <c r="D66" s="1" t="s">
        <v>1905</v>
      </c>
      <c r="E66" t="s">
        <v>1584</v>
      </c>
      <c r="F66" s="1" t="s">
        <v>1586</v>
      </c>
      <c r="G66" s="10">
        <v>64722.400000000001</v>
      </c>
      <c r="H66" s="10">
        <v>15288</v>
      </c>
      <c r="I66" s="10" t="s">
        <v>1809</v>
      </c>
      <c r="J66" s="10">
        <v>115172.79999999999</v>
      </c>
      <c r="K66" t="s">
        <v>1810</v>
      </c>
      <c r="L66" t="s">
        <v>347</v>
      </c>
      <c r="M66" t="s">
        <v>1830</v>
      </c>
      <c r="N66" t="s">
        <v>1811</v>
      </c>
    </row>
    <row r="67" spans="1:14" x14ac:dyDescent="0.25">
      <c r="A67" s="1" t="s">
        <v>1808</v>
      </c>
      <c r="B67" s="8">
        <v>0.55555555555555558</v>
      </c>
      <c r="C67" t="s">
        <v>1511</v>
      </c>
      <c r="D67" s="1" t="s">
        <v>1905</v>
      </c>
      <c r="E67" t="s">
        <v>1584</v>
      </c>
      <c r="F67" s="1" t="s">
        <v>1587</v>
      </c>
      <c r="G67" s="10">
        <v>64667.6</v>
      </c>
      <c r="H67" s="10">
        <v>4671</v>
      </c>
      <c r="I67" s="10" t="s">
        <v>1809</v>
      </c>
      <c r="J67" s="10">
        <v>80081.899999999994</v>
      </c>
      <c r="K67" t="s">
        <v>1810</v>
      </c>
      <c r="L67" t="s">
        <v>347</v>
      </c>
      <c r="M67" t="s">
        <v>1830</v>
      </c>
      <c r="N67" t="s">
        <v>1811</v>
      </c>
    </row>
    <row r="68" spans="1:14" x14ac:dyDescent="0.25">
      <c r="A68" s="1" t="s">
        <v>1808</v>
      </c>
      <c r="B68" s="8">
        <v>0.55625000000000002</v>
      </c>
      <c r="C68" t="s">
        <v>1511</v>
      </c>
      <c r="D68" s="1" t="s">
        <v>1906</v>
      </c>
      <c r="E68" t="s">
        <v>1588</v>
      </c>
      <c r="F68" s="1" t="s">
        <v>1589</v>
      </c>
      <c r="G68" s="10">
        <v>3385.45</v>
      </c>
      <c r="H68" s="10">
        <v>3138</v>
      </c>
      <c r="I68" s="10" t="s">
        <v>1809</v>
      </c>
      <c r="J68" s="10">
        <v>13740.849999999999</v>
      </c>
      <c r="K68" t="s">
        <v>1810</v>
      </c>
      <c r="L68" t="s">
        <v>496</v>
      </c>
      <c r="M68" t="s">
        <v>1831</v>
      </c>
      <c r="N68" t="s">
        <v>1811</v>
      </c>
    </row>
    <row r="69" spans="1:14" x14ac:dyDescent="0.25">
      <c r="A69" s="1" t="s">
        <v>1808</v>
      </c>
      <c r="B69" s="8">
        <v>0.55625000000000002</v>
      </c>
      <c r="C69" t="s">
        <v>1511</v>
      </c>
      <c r="D69" s="1" t="s">
        <v>1906</v>
      </c>
      <c r="E69" t="s">
        <v>1588</v>
      </c>
      <c r="F69" s="1" t="s">
        <v>1590</v>
      </c>
      <c r="G69" s="10">
        <v>16657.740000000002</v>
      </c>
      <c r="H69" s="10">
        <v>850</v>
      </c>
      <c r="I69" s="10" t="s">
        <v>1809</v>
      </c>
      <c r="J69" s="10">
        <v>19462.740000000002</v>
      </c>
      <c r="K69" t="s">
        <v>1810</v>
      </c>
      <c r="L69" t="s">
        <v>496</v>
      </c>
      <c r="M69" t="s">
        <v>1831</v>
      </c>
      <c r="N69" t="s">
        <v>1811</v>
      </c>
    </row>
    <row r="70" spans="1:14" x14ac:dyDescent="0.25">
      <c r="A70" s="1" t="s">
        <v>1808</v>
      </c>
      <c r="B70" s="8">
        <v>0.55625000000000002</v>
      </c>
      <c r="C70" t="s">
        <v>1511</v>
      </c>
      <c r="D70" s="1" t="s">
        <v>1906</v>
      </c>
      <c r="E70" t="s">
        <v>1588</v>
      </c>
      <c r="F70" s="1" t="s">
        <v>1591</v>
      </c>
      <c r="G70" s="10">
        <v>14430.8</v>
      </c>
      <c r="H70" s="10">
        <v>3013</v>
      </c>
      <c r="I70" s="10">
        <v>130</v>
      </c>
      <c r="J70" s="10">
        <v>24880.699999999997</v>
      </c>
      <c r="K70" t="s">
        <v>1810</v>
      </c>
      <c r="L70" t="s">
        <v>496</v>
      </c>
      <c r="M70" t="s">
        <v>1831</v>
      </c>
      <c r="N70" t="s">
        <v>1811</v>
      </c>
    </row>
    <row r="71" spans="1:14" x14ac:dyDescent="0.25">
      <c r="A71" s="1" t="s">
        <v>1808</v>
      </c>
      <c r="B71" s="8">
        <v>0.55625000000000002</v>
      </c>
      <c r="C71" t="s">
        <v>1511</v>
      </c>
      <c r="D71" s="1" t="s">
        <v>1906</v>
      </c>
      <c r="E71" t="s">
        <v>1588</v>
      </c>
      <c r="F71" s="1" t="s">
        <v>1592</v>
      </c>
      <c r="G71" s="10">
        <v>-88502.85</v>
      </c>
      <c r="H71" s="10">
        <v>8669</v>
      </c>
      <c r="I71" s="10">
        <v>4485</v>
      </c>
      <c r="J71" s="10">
        <v>-42403.650000000009</v>
      </c>
      <c r="K71" t="s">
        <v>1812</v>
      </c>
      <c r="L71" t="s">
        <v>496</v>
      </c>
      <c r="M71" t="s">
        <v>1831</v>
      </c>
      <c r="N71" t="s">
        <v>1811</v>
      </c>
    </row>
    <row r="72" spans="1:14" x14ac:dyDescent="0.25">
      <c r="A72" s="1" t="s">
        <v>1808</v>
      </c>
      <c r="B72" s="8">
        <v>0.55625000000000002</v>
      </c>
      <c r="C72" t="s">
        <v>1511</v>
      </c>
      <c r="D72" s="1" t="s">
        <v>1906</v>
      </c>
      <c r="E72" t="s">
        <v>1588</v>
      </c>
      <c r="F72" s="1" t="s">
        <v>1593</v>
      </c>
      <c r="G72" s="10">
        <v>1102.72</v>
      </c>
      <c r="H72" s="10">
        <v>6870</v>
      </c>
      <c r="I72" s="10" t="s">
        <v>1809</v>
      </c>
      <c r="J72" s="10">
        <v>23773.72</v>
      </c>
      <c r="K72" t="s">
        <v>1810</v>
      </c>
      <c r="L72" t="s">
        <v>496</v>
      </c>
      <c r="M72" t="s">
        <v>1831</v>
      </c>
      <c r="N72" t="s">
        <v>1811</v>
      </c>
    </row>
    <row r="73" spans="1:14" x14ac:dyDescent="0.25">
      <c r="A73" s="1" t="s">
        <v>1808</v>
      </c>
      <c r="B73" s="8">
        <v>0.55625000000000002</v>
      </c>
      <c r="C73" t="s">
        <v>1511</v>
      </c>
      <c r="D73" s="1" t="s">
        <v>1907</v>
      </c>
      <c r="E73" t="s">
        <v>1594</v>
      </c>
      <c r="F73" s="1" t="s">
        <v>1595</v>
      </c>
      <c r="G73" s="10">
        <v>43888.95</v>
      </c>
      <c r="H73" s="10">
        <v>9386</v>
      </c>
      <c r="I73" s="10" t="s">
        <v>1809</v>
      </c>
      <c r="J73" s="10">
        <v>74862.75</v>
      </c>
      <c r="K73" t="s">
        <v>1810</v>
      </c>
      <c r="L73" t="s">
        <v>371</v>
      </c>
      <c r="M73" t="s">
        <v>1832</v>
      </c>
      <c r="N73" t="s">
        <v>1811</v>
      </c>
    </row>
    <row r="74" spans="1:14" x14ac:dyDescent="0.25">
      <c r="A74" s="1" t="s">
        <v>1808</v>
      </c>
      <c r="B74" s="8">
        <v>0.55625000000000002</v>
      </c>
      <c r="C74" t="s">
        <v>1511</v>
      </c>
      <c r="D74" s="1" t="s">
        <v>1907</v>
      </c>
      <c r="E74" t="s">
        <v>1594</v>
      </c>
      <c r="F74" s="1" t="s">
        <v>1596</v>
      </c>
      <c r="G74" s="10">
        <v>32100.39</v>
      </c>
      <c r="H74" s="10">
        <v>6313</v>
      </c>
      <c r="I74" s="10" t="s">
        <v>1809</v>
      </c>
      <c r="J74" s="10">
        <v>52933.289999999994</v>
      </c>
      <c r="K74" t="s">
        <v>1810</v>
      </c>
      <c r="L74" t="s">
        <v>371</v>
      </c>
      <c r="M74" t="s">
        <v>1832</v>
      </c>
      <c r="N74" t="s">
        <v>1811</v>
      </c>
    </row>
    <row r="75" spans="1:14" x14ac:dyDescent="0.25">
      <c r="A75" s="1" t="s">
        <v>1808</v>
      </c>
      <c r="B75" s="8">
        <v>0.55625000000000002</v>
      </c>
      <c r="C75" t="s">
        <v>1511</v>
      </c>
      <c r="D75" s="1" t="s">
        <v>1907</v>
      </c>
      <c r="E75" t="s">
        <v>1594</v>
      </c>
      <c r="F75" s="1" t="s">
        <v>1597</v>
      </c>
      <c r="G75" s="10">
        <v>7367.73</v>
      </c>
      <c r="H75" s="10">
        <v>8877</v>
      </c>
      <c r="I75" s="10" t="s">
        <v>1809</v>
      </c>
      <c r="J75" s="10">
        <v>36661.83</v>
      </c>
      <c r="K75" t="s">
        <v>1810</v>
      </c>
      <c r="L75" t="s">
        <v>371</v>
      </c>
      <c r="M75" t="s">
        <v>1832</v>
      </c>
      <c r="N75" t="s">
        <v>1811</v>
      </c>
    </row>
    <row r="76" spans="1:14" x14ac:dyDescent="0.25">
      <c r="A76" s="1" t="s">
        <v>1808</v>
      </c>
      <c r="B76" s="8">
        <v>0.55694444444444446</v>
      </c>
      <c r="C76" t="s">
        <v>1511</v>
      </c>
      <c r="D76" s="1" t="s">
        <v>1908</v>
      </c>
      <c r="E76" t="s">
        <v>1598</v>
      </c>
      <c r="F76" s="1">
        <v>8021</v>
      </c>
      <c r="G76" s="10">
        <v>138887.44</v>
      </c>
      <c r="H76" s="10">
        <v>2840</v>
      </c>
      <c r="I76" s="10" t="s">
        <v>1809</v>
      </c>
      <c r="J76" s="10">
        <v>148259.44</v>
      </c>
      <c r="K76" t="s">
        <v>1810</v>
      </c>
      <c r="L76" t="s">
        <v>351</v>
      </c>
      <c r="M76" t="s">
        <v>1833</v>
      </c>
      <c r="N76" t="s">
        <v>1811</v>
      </c>
    </row>
    <row r="77" spans="1:14" x14ac:dyDescent="0.25">
      <c r="A77" s="1" t="s">
        <v>1808</v>
      </c>
      <c r="B77" s="8">
        <v>0.55694444444444446</v>
      </c>
      <c r="C77" t="s">
        <v>1511</v>
      </c>
      <c r="D77" s="1" t="s">
        <v>1908</v>
      </c>
      <c r="E77" t="s">
        <v>1598</v>
      </c>
      <c r="F77" s="1">
        <v>8022</v>
      </c>
      <c r="G77" s="10">
        <v>110263.65</v>
      </c>
      <c r="H77" s="10">
        <v>3799</v>
      </c>
      <c r="I77" s="10" t="s">
        <v>1809</v>
      </c>
      <c r="J77" s="10">
        <v>122800.34999999999</v>
      </c>
      <c r="K77" t="s">
        <v>1810</v>
      </c>
      <c r="L77" t="s">
        <v>351</v>
      </c>
      <c r="M77" t="s">
        <v>1833</v>
      </c>
      <c r="N77" t="s">
        <v>1811</v>
      </c>
    </row>
    <row r="78" spans="1:14" x14ac:dyDescent="0.25">
      <c r="A78" s="1" t="s">
        <v>1808</v>
      </c>
      <c r="B78" s="8">
        <v>0.55694444444444446</v>
      </c>
      <c r="C78" t="s">
        <v>1511</v>
      </c>
      <c r="D78" s="1" t="s">
        <v>1908</v>
      </c>
      <c r="E78" t="s">
        <v>1598</v>
      </c>
      <c r="F78" s="1">
        <v>8023</v>
      </c>
      <c r="G78" s="10">
        <v>15479.24</v>
      </c>
      <c r="H78" s="10">
        <v>5960</v>
      </c>
      <c r="I78" s="10" t="s">
        <v>1809</v>
      </c>
      <c r="J78" s="10">
        <v>35147.24</v>
      </c>
      <c r="K78" t="s">
        <v>1810</v>
      </c>
      <c r="L78" t="s">
        <v>351</v>
      </c>
      <c r="M78" t="s">
        <v>1833</v>
      </c>
      <c r="N78" t="s">
        <v>1811</v>
      </c>
    </row>
    <row r="79" spans="1:14" x14ac:dyDescent="0.25">
      <c r="A79" s="1" t="s">
        <v>1808</v>
      </c>
      <c r="B79" s="8">
        <v>0.55694444444444446</v>
      </c>
      <c r="C79" t="s">
        <v>1511</v>
      </c>
      <c r="D79" s="1" t="s">
        <v>1908</v>
      </c>
      <c r="E79" t="s">
        <v>1598</v>
      </c>
      <c r="F79" s="1">
        <v>8024</v>
      </c>
      <c r="G79" s="10">
        <v>9054.9699999999993</v>
      </c>
      <c r="H79" s="10">
        <v>3175</v>
      </c>
      <c r="I79" s="10" t="s">
        <v>1809</v>
      </c>
      <c r="J79" s="10">
        <v>19532.47</v>
      </c>
      <c r="K79" t="s">
        <v>1810</v>
      </c>
      <c r="L79" t="s">
        <v>351</v>
      </c>
      <c r="M79" t="s">
        <v>1833</v>
      </c>
      <c r="N79" t="s">
        <v>1811</v>
      </c>
    </row>
    <row r="80" spans="1:14" x14ac:dyDescent="0.25">
      <c r="A80" s="1" t="s">
        <v>1808</v>
      </c>
      <c r="B80" s="8">
        <v>0.55694444444444446</v>
      </c>
      <c r="C80" t="s">
        <v>1511</v>
      </c>
      <c r="D80" s="1" t="s">
        <v>1909</v>
      </c>
      <c r="E80" t="s">
        <v>1599</v>
      </c>
      <c r="F80" s="1">
        <v>8322</v>
      </c>
      <c r="G80" s="10">
        <v>32875.68</v>
      </c>
      <c r="H80" s="10">
        <v>845</v>
      </c>
      <c r="I80" s="10" t="s">
        <v>1809</v>
      </c>
      <c r="J80" s="10">
        <v>35664.18</v>
      </c>
      <c r="K80" t="s">
        <v>1810</v>
      </c>
      <c r="L80" t="s">
        <v>955</v>
      </c>
      <c r="M80" t="s">
        <v>1834</v>
      </c>
      <c r="N80" t="s">
        <v>1811</v>
      </c>
    </row>
    <row r="81" spans="1:14" x14ac:dyDescent="0.25">
      <c r="A81" s="1" t="s">
        <v>1808</v>
      </c>
      <c r="B81" s="8">
        <v>0.55694444444444446</v>
      </c>
      <c r="C81" t="s">
        <v>1511</v>
      </c>
      <c r="D81" s="1" t="s">
        <v>1909</v>
      </c>
      <c r="E81" t="s">
        <v>1599</v>
      </c>
      <c r="F81" s="1">
        <v>8323</v>
      </c>
      <c r="G81" s="10">
        <v>84610.66</v>
      </c>
      <c r="H81" s="10">
        <v>11229</v>
      </c>
      <c r="I81" s="10" t="s">
        <v>1809</v>
      </c>
      <c r="J81" s="10">
        <v>121666.36</v>
      </c>
      <c r="K81" t="s">
        <v>1810</v>
      </c>
      <c r="L81" t="s">
        <v>955</v>
      </c>
      <c r="M81" t="s">
        <v>1834</v>
      </c>
      <c r="N81" t="s">
        <v>1811</v>
      </c>
    </row>
    <row r="82" spans="1:14" x14ac:dyDescent="0.25">
      <c r="A82" s="1" t="s">
        <v>1808</v>
      </c>
      <c r="B82" s="8">
        <v>0.55694444444444446</v>
      </c>
      <c r="C82" t="s">
        <v>1511</v>
      </c>
      <c r="D82" s="1" t="s">
        <v>1910</v>
      </c>
      <c r="E82" t="s">
        <v>1600</v>
      </c>
      <c r="F82" s="1" t="s">
        <v>1601</v>
      </c>
      <c r="G82" s="10">
        <v>50290.1</v>
      </c>
      <c r="H82" s="10">
        <v>1570</v>
      </c>
      <c r="I82" s="10" t="s">
        <v>1809</v>
      </c>
      <c r="J82" s="10">
        <v>55471.1</v>
      </c>
      <c r="K82" t="s">
        <v>1810</v>
      </c>
      <c r="L82" t="s">
        <v>951</v>
      </c>
      <c r="M82" t="s">
        <v>1835</v>
      </c>
      <c r="N82" t="s">
        <v>1811</v>
      </c>
    </row>
    <row r="83" spans="1:14" x14ac:dyDescent="0.25">
      <c r="A83" s="1" t="s">
        <v>1808</v>
      </c>
      <c r="B83" s="8">
        <v>0.55694444444444446</v>
      </c>
      <c r="C83" t="s">
        <v>1511</v>
      </c>
      <c r="D83" s="1" t="s">
        <v>1910</v>
      </c>
      <c r="E83" t="s">
        <v>1600</v>
      </c>
      <c r="F83" s="1" t="s">
        <v>1602</v>
      </c>
      <c r="G83" s="10">
        <v>60690.02</v>
      </c>
      <c r="H83" s="10">
        <v>14152</v>
      </c>
      <c r="I83" s="10" t="s">
        <v>1809</v>
      </c>
      <c r="J83" s="10">
        <v>107391.62</v>
      </c>
      <c r="K83" t="s">
        <v>1810</v>
      </c>
      <c r="L83" t="s">
        <v>951</v>
      </c>
      <c r="M83" t="s">
        <v>1835</v>
      </c>
      <c r="N83" t="s">
        <v>1811</v>
      </c>
    </row>
    <row r="84" spans="1:14" x14ac:dyDescent="0.25">
      <c r="A84" s="1" t="s">
        <v>1808</v>
      </c>
      <c r="B84" s="8">
        <v>0.55694444444444446</v>
      </c>
      <c r="C84" t="s">
        <v>1511</v>
      </c>
      <c r="D84" s="1" t="s">
        <v>1910</v>
      </c>
      <c r="E84" t="s">
        <v>1600</v>
      </c>
      <c r="F84" s="1" t="s">
        <v>1603</v>
      </c>
      <c r="G84" s="10">
        <v>98234.39</v>
      </c>
      <c r="H84" s="10">
        <v>894</v>
      </c>
      <c r="I84" s="10" t="s">
        <v>1809</v>
      </c>
      <c r="J84" s="10">
        <v>101184.59</v>
      </c>
      <c r="K84" t="s">
        <v>1810</v>
      </c>
      <c r="L84" t="s">
        <v>951</v>
      </c>
      <c r="M84" t="s">
        <v>1835</v>
      </c>
      <c r="N84" t="s">
        <v>1811</v>
      </c>
    </row>
    <row r="85" spans="1:14" x14ac:dyDescent="0.25">
      <c r="A85" s="1" t="s">
        <v>1808</v>
      </c>
      <c r="B85" s="8">
        <v>0.55763888888888891</v>
      </c>
      <c r="C85" t="s">
        <v>1511</v>
      </c>
      <c r="D85" s="1" t="s">
        <v>1911</v>
      </c>
      <c r="E85" t="s">
        <v>1604</v>
      </c>
      <c r="F85" s="1" t="s">
        <v>1605</v>
      </c>
      <c r="G85" s="10">
        <v>18187.55</v>
      </c>
      <c r="H85" s="10">
        <v>2662</v>
      </c>
      <c r="I85" s="10" t="s">
        <v>1809</v>
      </c>
      <c r="J85" s="10">
        <v>26972.15</v>
      </c>
      <c r="K85" t="s">
        <v>1810</v>
      </c>
      <c r="L85" t="s">
        <v>834</v>
      </c>
      <c r="M85" t="s">
        <v>1836</v>
      </c>
      <c r="N85" t="s">
        <v>1811</v>
      </c>
    </row>
    <row r="86" spans="1:14" x14ac:dyDescent="0.25">
      <c r="A86" s="1" t="s">
        <v>1808</v>
      </c>
      <c r="B86" s="8">
        <v>0.55763888888888891</v>
      </c>
      <c r="C86" t="s">
        <v>1511</v>
      </c>
      <c r="D86" s="1" t="s">
        <v>1911</v>
      </c>
      <c r="E86" t="s">
        <v>1604</v>
      </c>
      <c r="F86" s="1" t="s">
        <v>1606</v>
      </c>
      <c r="G86" s="10">
        <v>81081.45</v>
      </c>
      <c r="H86" s="10">
        <v>1522</v>
      </c>
      <c r="I86" s="10" t="s">
        <v>1809</v>
      </c>
      <c r="J86" s="10">
        <v>86104.05</v>
      </c>
      <c r="K86" t="s">
        <v>1810</v>
      </c>
      <c r="L86" t="s">
        <v>834</v>
      </c>
      <c r="M86" t="s">
        <v>1836</v>
      </c>
      <c r="N86" t="s">
        <v>1811</v>
      </c>
    </row>
    <row r="87" spans="1:14" x14ac:dyDescent="0.25">
      <c r="A87" s="1" t="s">
        <v>1808</v>
      </c>
      <c r="B87" s="8">
        <v>0.55763888888888891</v>
      </c>
      <c r="C87" t="s">
        <v>1511</v>
      </c>
      <c r="D87" s="1" t="s">
        <v>1911</v>
      </c>
      <c r="E87" t="s">
        <v>1604</v>
      </c>
      <c r="F87" s="1" t="s">
        <v>1607</v>
      </c>
      <c r="G87" s="10">
        <v>67511.649999999994</v>
      </c>
      <c r="H87" s="10">
        <v>13681</v>
      </c>
      <c r="I87" s="10" t="s">
        <v>1809</v>
      </c>
      <c r="J87" s="10">
        <v>112658.94999999998</v>
      </c>
      <c r="K87" t="s">
        <v>1810</v>
      </c>
      <c r="L87" t="s">
        <v>834</v>
      </c>
      <c r="M87" t="s">
        <v>1836</v>
      </c>
      <c r="N87" t="s">
        <v>1811</v>
      </c>
    </row>
    <row r="88" spans="1:14" x14ac:dyDescent="0.25">
      <c r="A88" s="1" t="s">
        <v>1808</v>
      </c>
      <c r="B88" s="8">
        <v>0.55763888888888891</v>
      </c>
      <c r="C88" t="s">
        <v>1511</v>
      </c>
      <c r="D88" s="1" t="s">
        <v>1912</v>
      </c>
      <c r="E88" t="s">
        <v>1608</v>
      </c>
      <c r="F88" s="1" t="s">
        <v>1609</v>
      </c>
      <c r="G88" s="10">
        <v>62047.78</v>
      </c>
      <c r="H88" s="10">
        <v>2744</v>
      </c>
      <c r="I88" s="10" t="s">
        <v>1809</v>
      </c>
      <c r="J88" s="10">
        <v>71102.98</v>
      </c>
      <c r="K88" t="s">
        <v>1810</v>
      </c>
      <c r="L88" t="s">
        <v>375</v>
      </c>
      <c r="M88" t="s">
        <v>1837</v>
      </c>
      <c r="N88" t="s">
        <v>1811</v>
      </c>
    </row>
    <row r="89" spans="1:14" x14ac:dyDescent="0.25">
      <c r="A89" s="1" t="s">
        <v>1808</v>
      </c>
      <c r="B89" s="8">
        <v>0.55763888888888891</v>
      </c>
      <c r="C89" t="s">
        <v>1511</v>
      </c>
      <c r="D89" s="1" t="s">
        <v>1912</v>
      </c>
      <c r="E89" t="s">
        <v>1608</v>
      </c>
      <c r="F89" s="1" t="s">
        <v>1610</v>
      </c>
      <c r="G89" s="10">
        <v>8262.9</v>
      </c>
      <c r="H89" s="10">
        <v>10029</v>
      </c>
      <c r="I89" s="10" t="s">
        <v>1809</v>
      </c>
      <c r="J89" s="10">
        <v>41358.6</v>
      </c>
      <c r="K89" t="s">
        <v>1810</v>
      </c>
      <c r="L89" t="s">
        <v>375</v>
      </c>
      <c r="M89" t="s">
        <v>1837</v>
      </c>
      <c r="N89" t="s">
        <v>1811</v>
      </c>
    </row>
    <row r="90" spans="1:14" x14ac:dyDescent="0.25">
      <c r="A90" s="1" t="s">
        <v>1808</v>
      </c>
      <c r="B90" s="8">
        <v>0.55763888888888891</v>
      </c>
      <c r="C90" t="s">
        <v>1511</v>
      </c>
      <c r="D90" s="1" t="s">
        <v>1912</v>
      </c>
      <c r="E90" t="s">
        <v>1608</v>
      </c>
      <c r="F90" s="1" t="s">
        <v>1611</v>
      </c>
      <c r="G90" s="10">
        <v>50391.83</v>
      </c>
      <c r="H90" s="10">
        <v>4784</v>
      </c>
      <c r="I90" s="10" t="s">
        <v>1809</v>
      </c>
      <c r="J90" s="10">
        <v>66179.03</v>
      </c>
      <c r="K90" t="s">
        <v>1810</v>
      </c>
      <c r="L90" t="s">
        <v>375</v>
      </c>
      <c r="M90" t="s">
        <v>1837</v>
      </c>
      <c r="N90" t="s">
        <v>1811</v>
      </c>
    </row>
    <row r="91" spans="1:14" x14ac:dyDescent="0.25">
      <c r="A91" s="1" t="s">
        <v>1808</v>
      </c>
      <c r="B91" s="8">
        <v>0.55763888888888891</v>
      </c>
      <c r="C91" t="s">
        <v>1511</v>
      </c>
      <c r="D91" s="1" t="s">
        <v>1913</v>
      </c>
      <c r="E91" t="s">
        <v>1612</v>
      </c>
      <c r="F91" s="1" t="s">
        <v>1613</v>
      </c>
      <c r="G91" s="10">
        <v>52934.23</v>
      </c>
      <c r="H91" s="10">
        <v>6762</v>
      </c>
      <c r="I91" s="10" t="s">
        <v>1809</v>
      </c>
      <c r="J91" s="10">
        <v>75248.83</v>
      </c>
      <c r="K91" t="s">
        <v>1810</v>
      </c>
      <c r="L91" t="s">
        <v>355</v>
      </c>
      <c r="M91" t="s">
        <v>1838</v>
      </c>
      <c r="N91" t="s">
        <v>1811</v>
      </c>
    </row>
    <row r="92" spans="1:14" x14ac:dyDescent="0.25">
      <c r="A92" s="1" t="s">
        <v>1808</v>
      </c>
      <c r="B92" s="8">
        <v>0.55763888888888891</v>
      </c>
      <c r="C92" t="s">
        <v>1511</v>
      </c>
      <c r="D92" s="1" t="s">
        <v>1913</v>
      </c>
      <c r="E92" t="s">
        <v>1612</v>
      </c>
      <c r="F92" s="1" t="s">
        <v>1614</v>
      </c>
      <c r="G92" s="10">
        <v>93702.54</v>
      </c>
      <c r="H92" s="10">
        <v>10678</v>
      </c>
      <c r="I92" s="10" t="s">
        <v>1809</v>
      </c>
      <c r="J92" s="10">
        <v>128939.94</v>
      </c>
      <c r="K92" t="s">
        <v>1810</v>
      </c>
      <c r="L92" t="s">
        <v>355</v>
      </c>
      <c r="M92" t="s">
        <v>1838</v>
      </c>
      <c r="N92" t="s">
        <v>1811</v>
      </c>
    </row>
    <row r="93" spans="1:14" x14ac:dyDescent="0.25">
      <c r="A93" s="1" t="s">
        <v>1808</v>
      </c>
      <c r="B93" s="8">
        <v>0.55833333333333335</v>
      </c>
      <c r="C93" t="s">
        <v>1511</v>
      </c>
      <c r="D93" s="1" t="s">
        <v>1913</v>
      </c>
      <c r="E93" t="s">
        <v>1612</v>
      </c>
      <c r="F93" s="1" t="s">
        <v>1615</v>
      </c>
      <c r="G93" s="10">
        <v>24369.94</v>
      </c>
      <c r="H93" s="10">
        <v>1423</v>
      </c>
      <c r="I93" s="10" t="s">
        <v>1809</v>
      </c>
      <c r="J93" s="10">
        <v>29065.839999999997</v>
      </c>
      <c r="K93" t="s">
        <v>1810</v>
      </c>
      <c r="L93" t="s">
        <v>355</v>
      </c>
      <c r="M93" t="s">
        <v>1838</v>
      </c>
      <c r="N93" t="s">
        <v>1811</v>
      </c>
    </row>
    <row r="94" spans="1:14" x14ac:dyDescent="0.25">
      <c r="A94" s="1" t="s">
        <v>1808</v>
      </c>
      <c r="B94" s="8">
        <v>0.55833333333333335</v>
      </c>
      <c r="C94" t="s">
        <v>1511</v>
      </c>
      <c r="D94" s="1" t="s">
        <v>1914</v>
      </c>
      <c r="E94" t="s">
        <v>1616</v>
      </c>
      <c r="F94" s="1" t="s">
        <v>1617</v>
      </c>
      <c r="G94" s="10">
        <v>34606.1</v>
      </c>
      <c r="H94" s="10">
        <v>6796</v>
      </c>
      <c r="I94" s="10" t="s">
        <v>1809</v>
      </c>
      <c r="J94" s="10">
        <v>57032.899999999994</v>
      </c>
      <c r="K94" t="s">
        <v>1810</v>
      </c>
      <c r="L94" t="s">
        <v>403</v>
      </c>
      <c r="M94" t="s">
        <v>1839</v>
      </c>
      <c r="N94" t="s">
        <v>1811</v>
      </c>
    </row>
    <row r="95" spans="1:14" x14ac:dyDescent="0.25">
      <c r="A95" s="1" t="s">
        <v>1808</v>
      </c>
      <c r="B95" s="8">
        <v>0.55833333333333335</v>
      </c>
      <c r="C95" t="s">
        <v>1511</v>
      </c>
      <c r="D95" s="1" t="s">
        <v>1915</v>
      </c>
      <c r="E95" t="s">
        <v>1618</v>
      </c>
      <c r="F95" s="1" t="s">
        <v>1619</v>
      </c>
      <c r="G95" s="10">
        <v>10798.74</v>
      </c>
      <c r="H95" s="10">
        <v>10968</v>
      </c>
      <c r="I95" s="10" t="s">
        <v>1809</v>
      </c>
      <c r="J95" s="10">
        <v>46993.14</v>
      </c>
      <c r="K95" t="s">
        <v>1810</v>
      </c>
      <c r="L95" t="s">
        <v>1216</v>
      </c>
      <c r="M95" t="s">
        <v>1840</v>
      </c>
      <c r="N95" t="s">
        <v>1811</v>
      </c>
    </row>
    <row r="96" spans="1:14" x14ac:dyDescent="0.25">
      <c r="A96" s="1" t="s">
        <v>1808</v>
      </c>
      <c r="B96" s="8">
        <v>0.55833333333333335</v>
      </c>
      <c r="C96" t="s">
        <v>1511</v>
      </c>
      <c r="D96" s="1" t="s">
        <v>1915</v>
      </c>
      <c r="E96" t="s">
        <v>1618</v>
      </c>
      <c r="F96" s="1" t="s">
        <v>1620</v>
      </c>
      <c r="G96" s="10">
        <v>19273.22</v>
      </c>
      <c r="H96" s="10">
        <v>10698</v>
      </c>
      <c r="I96" s="10" t="s">
        <v>1809</v>
      </c>
      <c r="J96" s="10">
        <v>54576.62</v>
      </c>
      <c r="K96" t="s">
        <v>1810</v>
      </c>
      <c r="L96" t="s">
        <v>1216</v>
      </c>
      <c r="M96" t="s">
        <v>1840</v>
      </c>
      <c r="N96" t="s">
        <v>1811</v>
      </c>
    </row>
    <row r="97" spans="1:14" x14ac:dyDescent="0.25">
      <c r="A97" s="1" t="s">
        <v>1808</v>
      </c>
      <c r="B97" s="8">
        <v>0.55833333333333335</v>
      </c>
      <c r="C97" t="s">
        <v>1511</v>
      </c>
      <c r="D97" s="1" t="s">
        <v>1915</v>
      </c>
      <c r="E97" t="s">
        <v>1618</v>
      </c>
      <c r="F97" s="1" t="s">
        <v>1621</v>
      </c>
      <c r="G97" s="10">
        <v>55213.07</v>
      </c>
      <c r="H97" s="10">
        <v>11603</v>
      </c>
      <c r="I97" s="10" t="s">
        <v>1809</v>
      </c>
      <c r="J97" s="10">
        <v>93502.97</v>
      </c>
      <c r="K97" t="s">
        <v>1810</v>
      </c>
      <c r="L97" t="s">
        <v>1216</v>
      </c>
      <c r="M97" t="s">
        <v>1840</v>
      </c>
      <c r="N97" t="s">
        <v>1811</v>
      </c>
    </row>
    <row r="98" spans="1:14" x14ac:dyDescent="0.25">
      <c r="A98" s="1" t="s">
        <v>1808</v>
      </c>
      <c r="B98" s="8">
        <v>0.55833333333333335</v>
      </c>
      <c r="C98" t="s">
        <v>1511</v>
      </c>
      <c r="D98" s="1" t="s">
        <v>1916</v>
      </c>
      <c r="E98" t="s">
        <v>1622</v>
      </c>
      <c r="F98" s="1" t="s">
        <v>1623</v>
      </c>
      <c r="G98" s="10">
        <v>137060.76999999999</v>
      </c>
      <c r="H98" s="10">
        <v>4465</v>
      </c>
      <c r="I98" s="10" t="s">
        <v>1809</v>
      </c>
      <c r="J98" s="10">
        <v>151795.26999999999</v>
      </c>
      <c r="K98" t="s">
        <v>1810</v>
      </c>
      <c r="L98" t="s">
        <v>1031</v>
      </c>
      <c r="M98" t="s">
        <v>1841</v>
      </c>
      <c r="N98" t="s">
        <v>1811</v>
      </c>
    </row>
    <row r="99" spans="1:14" x14ac:dyDescent="0.25">
      <c r="A99" s="1" t="s">
        <v>1808</v>
      </c>
      <c r="B99" s="8">
        <v>0.55833333333333335</v>
      </c>
      <c r="C99" t="s">
        <v>1511</v>
      </c>
      <c r="D99" s="1" t="s">
        <v>1916</v>
      </c>
      <c r="E99" t="s">
        <v>1622</v>
      </c>
      <c r="F99" s="1" t="s">
        <v>1624</v>
      </c>
      <c r="G99" s="10">
        <v>13130.62</v>
      </c>
      <c r="H99" s="10">
        <v>6020</v>
      </c>
      <c r="I99" s="10" t="s">
        <v>1809</v>
      </c>
      <c r="J99" s="10">
        <v>32996.620000000003</v>
      </c>
      <c r="K99" t="s">
        <v>1810</v>
      </c>
      <c r="L99" t="s">
        <v>1031</v>
      </c>
      <c r="M99" t="s">
        <v>1841</v>
      </c>
      <c r="N99" t="s">
        <v>1811</v>
      </c>
    </row>
    <row r="100" spans="1:14" x14ac:dyDescent="0.25">
      <c r="A100" s="1" t="s">
        <v>1808</v>
      </c>
      <c r="B100" s="8">
        <v>0.55833333333333335</v>
      </c>
      <c r="C100" t="s">
        <v>1511</v>
      </c>
      <c r="D100" s="1" t="s">
        <v>1916</v>
      </c>
      <c r="E100" t="s">
        <v>1622</v>
      </c>
      <c r="F100" s="1" t="s">
        <v>1625</v>
      </c>
      <c r="G100" s="10">
        <v>103676.92</v>
      </c>
      <c r="H100" s="10">
        <v>6373</v>
      </c>
      <c r="I100" s="10" t="s">
        <v>1809</v>
      </c>
      <c r="J100" s="10">
        <v>124707.81999999999</v>
      </c>
      <c r="K100" t="s">
        <v>1810</v>
      </c>
      <c r="L100" t="s">
        <v>1031</v>
      </c>
      <c r="M100" t="s">
        <v>1841</v>
      </c>
      <c r="N100" t="s">
        <v>1811</v>
      </c>
    </row>
    <row r="101" spans="1:14" x14ac:dyDescent="0.25">
      <c r="A101" s="1" t="s">
        <v>1808</v>
      </c>
      <c r="B101" s="8">
        <v>0.55902777777777779</v>
      </c>
      <c r="C101" t="s">
        <v>1511</v>
      </c>
      <c r="D101" s="1" t="s">
        <v>1917</v>
      </c>
      <c r="E101" t="s">
        <v>1626</v>
      </c>
      <c r="F101" s="1" t="s">
        <v>1627</v>
      </c>
      <c r="G101" s="10">
        <v>30275.19</v>
      </c>
      <c r="H101" s="10">
        <v>1892</v>
      </c>
      <c r="I101" s="10" t="s">
        <v>1809</v>
      </c>
      <c r="J101" s="10">
        <v>36518.79</v>
      </c>
      <c r="K101" t="s">
        <v>1810</v>
      </c>
      <c r="L101" t="s">
        <v>359</v>
      </c>
      <c r="M101" t="s">
        <v>1842</v>
      </c>
      <c r="N101" t="s">
        <v>1811</v>
      </c>
    </row>
    <row r="102" spans="1:14" x14ac:dyDescent="0.25">
      <c r="A102" s="1" t="s">
        <v>1808</v>
      </c>
      <c r="B102" s="8">
        <v>0.55902777777777779</v>
      </c>
      <c r="C102" t="s">
        <v>1511</v>
      </c>
      <c r="D102" s="1" t="s">
        <v>1917</v>
      </c>
      <c r="E102" t="s">
        <v>1626</v>
      </c>
      <c r="F102" s="1" t="s">
        <v>1628</v>
      </c>
      <c r="G102" s="10">
        <v>35448.379999999997</v>
      </c>
      <c r="H102" s="10">
        <v>10763</v>
      </c>
      <c r="I102" s="10" t="s">
        <v>1809</v>
      </c>
      <c r="J102" s="10">
        <v>70966.28</v>
      </c>
      <c r="K102" t="s">
        <v>1810</v>
      </c>
      <c r="L102" t="s">
        <v>359</v>
      </c>
      <c r="M102" t="s">
        <v>1842</v>
      </c>
      <c r="N102" t="s">
        <v>1811</v>
      </c>
    </row>
    <row r="103" spans="1:14" x14ac:dyDescent="0.25">
      <c r="A103" s="1" t="s">
        <v>1808</v>
      </c>
      <c r="B103" s="8">
        <v>0.55902777777777779</v>
      </c>
      <c r="C103" t="s">
        <v>1511</v>
      </c>
      <c r="D103" s="1" t="s">
        <v>1917</v>
      </c>
      <c r="E103" t="s">
        <v>1626</v>
      </c>
      <c r="F103" s="1" t="s">
        <v>1629</v>
      </c>
      <c r="G103" s="10">
        <v>177181.75</v>
      </c>
      <c r="H103" s="10">
        <v>21019</v>
      </c>
      <c r="I103" s="10" t="s">
        <v>1809</v>
      </c>
      <c r="J103" s="10">
        <v>246544.45</v>
      </c>
      <c r="K103" t="s">
        <v>1813</v>
      </c>
      <c r="L103" t="s">
        <v>359</v>
      </c>
      <c r="M103" t="s">
        <v>1842</v>
      </c>
      <c r="N103" t="s">
        <v>1811</v>
      </c>
    </row>
    <row r="104" spans="1:14" x14ac:dyDescent="0.25">
      <c r="A104" s="1" t="s">
        <v>1808</v>
      </c>
      <c r="B104" s="8">
        <v>0.55902777777777779</v>
      </c>
      <c r="C104" t="s">
        <v>1511</v>
      </c>
      <c r="D104" s="1" t="s">
        <v>1917</v>
      </c>
      <c r="E104" t="s">
        <v>1626</v>
      </c>
      <c r="F104" s="1" t="s">
        <v>1630</v>
      </c>
      <c r="G104" s="10">
        <v>-1180.22</v>
      </c>
      <c r="H104" s="10">
        <v>9450</v>
      </c>
      <c r="I104" s="10" t="s">
        <v>1809</v>
      </c>
      <c r="J104" s="10">
        <v>30004.78</v>
      </c>
      <c r="K104" t="s">
        <v>1812</v>
      </c>
      <c r="L104" t="s">
        <v>359</v>
      </c>
      <c r="M104" t="s">
        <v>1842</v>
      </c>
      <c r="N104" t="s">
        <v>1811</v>
      </c>
    </row>
    <row r="105" spans="1:14" x14ac:dyDescent="0.25">
      <c r="A105" s="1" t="s">
        <v>1808</v>
      </c>
      <c r="B105" s="8">
        <v>0.55902777777777779</v>
      </c>
      <c r="C105" t="s">
        <v>1511</v>
      </c>
      <c r="D105" s="1" t="s">
        <v>1918</v>
      </c>
      <c r="E105" t="s">
        <v>1631</v>
      </c>
      <c r="F105" s="1" t="s">
        <v>1632</v>
      </c>
      <c r="G105" s="10">
        <v>28752.85</v>
      </c>
      <c r="H105" s="10">
        <v>15694</v>
      </c>
      <c r="I105" s="10" t="s">
        <v>1809</v>
      </c>
      <c r="J105" s="10">
        <v>80543.049999999988</v>
      </c>
      <c r="K105" t="s">
        <v>1810</v>
      </c>
      <c r="L105" t="s">
        <v>756</v>
      </c>
      <c r="M105" t="s">
        <v>1843</v>
      </c>
      <c r="N105" t="s">
        <v>1811</v>
      </c>
    </row>
    <row r="106" spans="1:14" x14ac:dyDescent="0.25">
      <c r="A106" s="1" t="s">
        <v>1808</v>
      </c>
      <c r="B106" s="8">
        <v>0.55902777777777779</v>
      </c>
      <c r="C106" t="s">
        <v>1511</v>
      </c>
      <c r="D106" s="1" t="s">
        <v>1918</v>
      </c>
      <c r="E106" t="s">
        <v>1631</v>
      </c>
      <c r="F106" s="1" t="s">
        <v>1633</v>
      </c>
      <c r="G106" s="10">
        <v>15556.91</v>
      </c>
      <c r="H106" s="10">
        <v>6155</v>
      </c>
      <c r="I106" s="10" t="s">
        <v>1809</v>
      </c>
      <c r="J106" s="10">
        <v>35868.410000000003</v>
      </c>
      <c r="K106" t="s">
        <v>1810</v>
      </c>
      <c r="L106" t="s">
        <v>756</v>
      </c>
      <c r="M106" t="s">
        <v>1843</v>
      </c>
      <c r="N106" t="s">
        <v>1811</v>
      </c>
    </row>
    <row r="107" spans="1:14" x14ac:dyDescent="0.25">
      <c r="A107" s="1" t="s">
        <v>1808</v>
      </c>
      <c r="B107" s="8">
        <v>0.55902777777777779</v>
      </c>
      <c r="C107" t="s">
        <v>1511</v>
      </c>
      <c r="D107" s="1" t="s">
        <v>1918</v>
      </c>
      <c r="E107" t="s">
        <v>1631</v>
      </c>
      <c r="F107" s="1" t="s">
        <v>1634</v>
      </c>
      <c r="G107" s="10">
        <v>72119.429999999993</v>
      </c>
      <c r="H107" s="10">
        <v>646</v>
      </c>
      <c r="I107" s="10" t="s">
        <v>1809</v>
      </c>
      <c r="J107" s="10">
        <v>74251.23</v>
      </c>
      <c r="K107" t="s">
        <v>1810</v>
      </c>
      <c r="L107" t="s">
        <v>756</v>
      </c>
      <c r="M107" t="s">
        <v>1843</v>
      </c>
      <c r="N107" t="s">
        <v>1811</v>
      </c>
    </row>
    <row r="108" spans="1:14" x14ac:dyDescent="0.25">
      <c r="A108" s="1" t="s">
        <v>1808</v>
      </c>
      <c r="B108" s="8">
        <v>0.55972222222222223</v>
      </c>
      <c r="C108" t="s">
        <v>1635</v>
      </c>
      <c r="D108" s="1" t="s">
        <v>1919</v>
      </c>
      <c r="E108" t="s">
        <v>1636</v>
      </c>
      <c r="F108" s="1" t="s">
        <v>1637</v>
      </c>
      <c r="G108" s="10">
        <v>35067.24</v>
      </c>
      <c r="H108" s="10">
        <v>11110</v>
      </c>
      <c r="I108" s="10" t="s">
        <v>1809</v>
      </c>
      <c r="J108" s="10">
        <v>71730.239999999991</v>
      </c>
      <c r="K108" t="s">
        <v>1810</v>
      </c>
      <c r="L108" t="s">
        <v>289</v>
      </c>
      <c r="M108" t="s">
        <v>1844</v>
      </c>
      <c r="N108" t="s">
        <v>1811</v>
      </c>
    </row>
    <row r="109" spans="1:14" x14ac:dyDescent="0.25">
      <c r="A109" s="1" t="s">
        <v>1808</v>
      </c>
      <c r="B109" s="8">
        <v>0.55972222222222223</v>
      </c>
      <c r="C109" t="s">
        <v>1635</v>
      </c>
      <c r="D109" s="1" t="s">
        <v>1919</v>
      </c>
      <c r="E109" t="s">
        <v>1636</v>
      </c>
      <c r="F109" s="1" t="s">
        <v>1638</v>
      </c>
      <c r="G109" s="10">
        <v>15332.26</v>
      </c>
      <c r="H109" s="10">
        <v>4870</v>
      </c>
      <c r="I109" s="10" t="s">
        <v>1809</v>
      </c>
      <c r="J109" s="10">
        <v>31403.260000000002</v>
      </c>
      <c r="K109" t="s">
        <v>1810</v>
      </c>
      <c r="L109" t="s">
        <v>289</v>
      </c>
      <c r="M109" t="s">
        <v>1844</v>
      </c>
      <c r="N109" t="s">
        <v>1811</v>
      </c>
    </row>
    <row r="110" spans="1:14" x14ac:dyDescent="0.25">
      <c r="A110" s="1" t="s">
        <v>1808</v>
      </c>
      <c r="B110" s="8">
        <v>0.55972222222222223</v>
      </c>
      <c r="C110" t="s">
        <v>1635</v>
      </c>
      <c r="D110" s="1" t="s">
        <v>1919</v>
      </c>
      <c r="E110" t="s">
        <v>1636</v>
      </c>
      <c r="F110" s="1" t="s">
        <v>1639</v>
      </c>
      <c r="G110" s="10">
        <v>76139.100000000006</v>
      </c>
      <c r="H110" s="10">
        <v>16566</v>
      </c>
      <c r="I110" s="10" t="s">
        <v>1809</v>
      </c>
      <c r="J110" s="10">
        <v>130806.9</v>
      </c>
      <c r="K110" t="s">
        <v>1810</v>
      </c>
      <c r="L110" t="s">
        <v>289</v>
      </c>
      <c r="M110" t="s">
        <v>1844</v>
      </c>
      <c r="N110" t="s">
        <v>1811</v>
      </c>
    </row>
    <row r="111" spans="1:14" x14ac:dyDescent="0.25">
      <c r="A111" s="1" t="s">
        <v>1808</v>
      </c>
      <c r="B111" s="8">
        <v>0.55972222222222223</v>
      </c>
      <c r="C111" t="s">
        <v>1635</v>
      </c>
      <c r="D111" s="1" t="s">
        <v>1920</v>
      </c>
      <c r="E111" t="s">
        <v>1640</v>
      </c>
      <c r="F111" s="1" t="s">
        <v>1641</v>
      </c>
      <c r="G111" s="10">
        <v>28370.11</v>
      </c>
      <c r="H111" s="10">
        <v>10058</v>
      </c>
      <c r="I111" s="10" t="s">
        <v>1809</v>
      </c>
      <c r="J111" s="10">
        <v>61561.51</v>
      </c>
      <c r="K111" t="s">
        <v>1810</v>
      </c>
      <c r="L111" t="s">
        <v>1344</v>
      </c>
      <c r="M111" t="s">
        <v>1845</v>
      </c>
      <c r="N111" t="s">
        <v>1811</v>
      </c>
    </row>
    <row r="112" spans="1:14" x14ac:dyDescent="0.25">
      <c r="A112" s="1" t="s">
        <v>1808</v>
      </c>
      <c r="B112" s="8">
        <v>0.55972222222222223</v>
      </c>
      <c r="C112" t="s">
        <v>1635</v>
      </c>
      <c r="D112" s="1" t="s">
        <v>1920</v>
      </c>
      <c r="E112" t="s">
        <v>1640</v>
      </c>
      <c r="F112" s="1" t="s">
        <v>1642</v>
      </c>
      <c r="G112" s="10">
        <v>6550.31</v>
      </c>
      <c r="H112" s="10">
        <v>1864</v>
      </c>
      <c r="I112" s="10" t="s">
        <v>1809</v>
      </c>
      <c r="J112" s="10">
        <v>12701.51</v>
      </c>
      <c r="K112" t="s">
        <v>1810</v>
      </c>
      <c r="L112" t="s">
        <v>1344</v>
      </c>
      <c r="M112" t="s">
        <v>1845</v>
      </c>
      <c r="N112" t="s">
        <v>1811</v>
      </c>
    </row>
    <row r="113" spans="1:14" x14ac:dyDescent="0.25">
      <c r="A113" s="1" t="s">
        <v>1808</v>
      </c>
      <c r="B113" s="8">
        <v>0.55972222222222223</v>
      </c>
      <c r="C113" t="s">
        <v>1635</v>
      </c>
      <c r="D113" s="1" t="s">
        <v>1920</v>
      </c>
      <c r="E113" t="s">
        <v>1640</v>
      </c>
      <c r="F113" s="1" t="s">
        <v>1643</v>
      </c>
      <c r="G113" s="10">
        <v>10386.82</v>
      </c>
      <c r="H113" s="10">
        <v>3714</v>
      </c>
      <c r="I113" s="10" t="s">
        <v>1809</v>
      </c>
      <c r="J113" s="10">
        <v>22643.019999999997</v>
      </c>
      <c r="K113" t="s">
        <v>1810</v>
      </c>
      <c r="L113" t="s">
        <v>1344</v>
      </c>
      <c r="M113" t="s">
        <v>1845</v>
      </c>
      <c r="N113" t="s">
        <v>1811</v>
      </c>
    </row>
    <row r="114" spans="1:14" x14ac:dyDescent="0.25">
      <c r="A114" s="1" t="s">
        <v>1808</v>
      </c>
      <c r="B114" s="8">
        <v>0.55972222222222223</v>
      </c>
      <c r="C114" t="s">
        <v>1635</v>
      </c>
      <c r="D114" s="1" t="s">
        <v>1920</v>
      </c>
      <c r="E114" t="s">
        <v>1640</v>
      </c>
      <c r="F114" s="1" t="s">
        <v>1644</v>
      </c>
      <c r="G114" s="10">
        <v>48936.17</v>
      </c>
      <c r="H114" s="10">
        <v>547</v>
      </c>
      <c r="I114" s="10" t="s">
        <v>1809</v>
      </c>
      <c r="J114" s="10">
        <v>50741.27</v>
      </c>
      <c r="K114" t="s">
        <v>1810</v>
      </c>
      <c r="L114" t="s">
        <v>1344</v>
      </c>
      <c r="M114" t="s">
        <v>1845</v>
      </c>
      <c r="N114" t="s">
        <v>1811</v>
      </c>
    </row>
    <row r="115" spans="1:14" x14ac:dyDescent="0.25">
      <c r="A115" s="1" t="s">
        <v>1808</v>
      </c>
      <c r="B115" s="8">
        <v>0.55972222222222223</v>
      </c>
      <c r="C115" t="s">
        <v>1635</v>
      </c>
      <c r="D115" s="1" t="s">
        <v>1921</v>
      </c>
      <c r="E115" t="s">
        <v>1645</v>
      </c>
      <c r="F115" s="1" t="s">
        <v>1646</v>
      </c>
      <c r="G115" s="10">
        <v>-1169.8699999999999</v>
      </c>
      <c r="H115" s="10">
        <v>4289</v>
      </c>
      <c r="I115" s="10" t="s">
        <v>1809</v>
      </c>
      <c r="J115" s="10">
        <v>12983.829999999998</v>
      </c>
      <c r="K115" t="s">
        <v>1812</v>
      </c>
      <c r="L115" t="s">
        <v>1059</v>
      </c>
      <c r="M115" t="s">
        <v>1846</v>
      </c>
      <c r="N115" t="s">
        <v>1811</v>
      </c>
    </row>
    <row r="116" spans="1:14" x14ac:dyDescent="0.25">
      <c r="A116" s="1" t="s">
        <v>1808</v>
      </c>
      <c r="B116" s="8">
        <v>0.55972222222222223</v>
      </c>
      <c r="C116" t="s">
        <v>1635</v>
      </c>
      <c r="D116" s="1" t="s">
        <v>1921</v>
      </c>
      <c r="E116" t="s">
        <v>1645</v>
      </c>
      <c r="F116" s="1" t="s">
        <v>1647</v>
      </c>
      <c r="G116" s="10">
        <v>80703.86</v>
      </c>
      <c r="H116" s="10">
        <v>7077</v>
      </c>
      <c r="I116" s="10" t="s">
        <v>1809</v>
      </c>
      <c r="J116" s="10">
        <v>104057.95999999999</v>
      </c>
      <c r="K116" t="s">
        <v>1810</v>
      </c>
      <c r="L116" t="s">
        <v>1059</v>
      </c>
      <c r="M116" t="s">
        <v>1846</v>
      </c>
      <c r="N116" t="s">
        <v>1811</v>
      </c>
    </row>
    <row r="117" spans="1:14" x14ac:dyDescent="0.25">
      <c r="A117" s="1" t="s">
        <v>1808</v>
      </c>
      <c r="B117" s="8">
        <v>0.56041666666666667</v>
      </c>
      <c r="C117" t="s">
        <v>1635</v>
      </c>
      <c r="D117" s="1" t="s">
        <v>1921</v>
      </c>
      <c r="E117" t="s">
        <v>1645</v>
      </c>
      <c r="F117" s="1" t="s">
        <v>1648</v>
      </c>
      <c r="G117" s="10">
        <v>33589.129999999997</v>
      </c>
      <c r="H117" s="10">
        <v>11309</v>
      </c>
      <c r="I117" s="10" t="s">
        <v>1809</v>
      </c>
      <c r="J117" s="10">
        <v>70908.829999999987</v>
      </c>
      <c r="K117" t="s">
        <v>1810</v>
      </c>
      <c r="L117" t="s">
        <v>1059</v>
      </c>
      <c r="M117" t="s">
        <v>1846</v>
      </c>
      <c r="N117" t="s">
        <v>1811</v>
      </c>
    </row>
    <row r="118" spans="1:14" x14ac:dyDescent="0.25">
      <c r="A118" s="1" t="s">
        <v>1808</v>
      </c>
      <c r="B118" s="8">
        <v>0.56041666666666667</v>
      </c>
      <c r="C118" t="s">
        <v>1635</v>
      </c>
      <c r="D118" s="1" t="s">
        <v>1921</v>
      </c>
      <c r="E118" t="s">
        <v>1645</v>
      </c>
      <c r="F118" s="1" t="s">
        <v>1649</v>
      </c>
      <c r="G118" s="10">
        <v>104344</v>
      </c>
      <c r="H118" s="10">
        <v>3501</v>
      </c>
      <c r="I118" s="10" t="s">
        <v>1809</v>
      </c>
      <c r="J118" s="10">
        <v>115897.3</v>
      </c>
      <c r="K118" t="s">
        <v>1810</v>
      </c>
      <c r="L118" t="s">
        <v>1059</v>
      </c>
      <c r="M118" t="s">
        <v>1846</v>
      </c>
      <c r="N118" t="s">
        <v>1811</v>
      </c>
    </row>
    <row r="119" spans="1:14" x14ac:dyDescent="0.25">
      <c r="A119" s="1" t="s">
        <v>1808</v>
      </c>
      <c r="B119" s="8">
        <v>0.56041666666666667</v>
      </c>
      <c r="C119" t="s">
        <v>1635</v>
      </c>
      <c r="D119" s="1" t="s">
        <v>1922</v>
      </c>
      <c r="E119" t="s">
        <v>1650</v>
      </c>
      <c r="F119" s="1" t="s">
        <v>1651</v>
      </c>
      <c r="G119" s="10">
        <v>69147.48</v>
      </c>
      <c r="H119" s="10">
        <v>10716</v>
      </c>
      <c r="I119" s="10" t="s">
        <v>1809</v>
      </c>
      <c r="J119" s="10">
        <v>104510.28</v>
      </c>
      <c r="K119" t="s">
        <v>1810</v>
      </c>
      <c r="L119" t="s">
        <v>1340</v>
      </c>
      <c r="M119" t="s">
        <v>1847</v>
      </c>
      <c r="N119" t="s">
        <v>1811</v>
      </c>
    </row>
    <row r="120" spans="1:14" x14ac:dyDescent="0.25">
      <c r="A120" s="1" t="s">
        <v>1808</v>
      </c>
      <c r="B120" s="8">
        <v>0.56041666666666667</v>
      </c>
      <c r="C120" t="s">
        <v>1635</v>
      </c>
      <c r="D120" s="1" t="s">
        <v>1922</v>
      </c>
      <c r="E120" t="s">
        <v>1650</v>
      </c>
      <c r="F120" s="1" t="s">
        <v>1652</v>
      </c>
      <c r="G120" s="10">
        <v>46647.44</v>
      </c>
      <c r="H120" s="10">
        <v>10748</v>
      </c>
      <c r="I120" s="10" t="s">
        <v>1809</v>
      </c>
      <c r="J120" s="10">
        <v>82115.839999999997</v>
      </c>
      <c r="K120" t="s">
        <v>1810</v>
      </c>
      <c r="L120" t="s">
        <v>1340</v>
      </c>
      <c r="M120" t="s">
        <v>1847</v>
      </c>
      <c r="N120" t="s">
        <v>1811</v>
      </c>
    </row>
    <row r="121" spans="1:14" x14ac:dyDescent="0.25">
      <c r="A121" s="1" t="s">
        <v>1808</v>
      </c>
      <c r="B121" s="8">
        <v>0.56041666666666667</v>
      </c>
      <c r="C121" t="s">
        <v>1635</v>
      </c>
      <c r="D121" s="1" t="s">
        <v>1922</v>
      </c>
      <c r="E121" t="s">
        <v>1650</v>
      </c>
      <c r="F121" s="1" t="s">
        <v>1653</v>
      </c>
      <c r="G121" s="10">
        <v>10465.790000000001</v>
      </c>
      <c r="H121" s="10">
        <v>7495</v>
      </c>
      <c r="I121" s="10" t="s">
        <v>1809</v>
      </c>
      <c r="J121" s="10">
        <v>35199.29</v>
      </c>
      <c r="K121" t="s">
        <v>1810</v>
      </c>
      <c r="L121" t="s">
        <v>1340</v>
      </c>
      <c r="M121" t="s">
        <v>1847</v>
      </c>
      <c r="N121" t="s">
        <v>1811</v>
      </c>
    </row>
    <row r="122" spans="1:14" x14ac:dyDescent="0.25">
      <c r="A122" s="1" t="s">
        <v>1808</v>
      </c>
      <c r="B122" s="8">
        <v>0.56041666666666667</v>
      </c>
      <c r="C122" t="s">
        <v>1635</v>
      </c>
      <c r="D122" s="1" t="s">
        <v>1922</v>
      </c>
      <c r="E122" t="s">
        <v>1650</v>
      </c>
      <c r="F122" s="1" t="s">
        <v>1654</v>
      </c>
      <c r="G122" s="10">
        <v>13700.72</v>
      </c>
      <c r="H122" s="10">
        <v>12663</v>
      </c>
      <c r="I122" s="10" t="s">
        <v>1809</v>
      </c>
      <c r="J122" s="10">
        <v>55488.619999999995</v>
      </c>
      <c r="K122" t="s">
        <v>1810</v>
      </c>
      <c r="L122" t="s">
        <v>1340</v>
      </c>
      <c r="M122" t="s">
        <v>1847</v>
      </c>
      <c r="N122" t="s">
        <v>1811</v>
      </c>
    </row>
    <row r="123" spans="1:14" x14ac:dyDescent="0.25">
      <c r="A123" s="1" t="s">
        <v>1808</v>
      </c>
      <c r="B123" s="8">
        <v>0.56041666666666667</v>
      </c>
      <c r="C123" t="s">
        <v>1635</v>
      </c>
      <c r="D123" s="1" t="s">
        <v>1923</v>
      </c>
      <c r="E123" t="s">
        <v>1655</v>
      </c>
      <c r="F123" s="1" t="s">
        <v>1656</v>
      </c>
      <c r="G123" s="10">
        <v>75770.8</v>
      </c>
      <c r="H123" s="10">
        <v>7153</v>
      </c>
      <c r="I123" s="10" t="s">
        <v>1809</v>
      </c>
      <c r="J123" s="10">
        <v>99375.7</v>
      </c>
      <c r="K123" t="s">
        <v>1810</v>
      </c>
      <c r="L123" t="s">
        <v>171</v>
      </c>
      <c r="M123" t="s">
        <v>1848</v>
      </c>
      <c r="N123" t="s">
        <v>1811</v>
      </c>
    </row>
    <row r="124" spans="1:14" x14ac:dyDescent="0.25">
      <c r="A124" s="1" t="s">
        <v>1808</v>
      </c>
      <c r="B124" s="8">
        <v>0.56041666666666667</v>
      </c>
      <c r="C124" t="s">
        <v>1635</v>
      </c>
      <c r="D124" s="1" t="s">
        <v>1923</v>
      </c>
      <c r="E124" t="s">
        <v>1655</v>
      </c>
      <c r="F124" s="1" t="s">
        <v>1657</v>
      </c>
      <c r="G124" s="10">
        <v>35688.06</v>
      </c>
      <c r="H124" s="10">
        <v>5699</v>
      </c>
      <c r="I124" s="10" t="s">
        <v>1809</v>
      </c>
      <c r="J124" s="10">
        <v>54494.759999999995</v>
      </c>
      <c r="K124" t="s">
        <v>1810</v>
      </c>
      <c r="L124" t="s">
        <v>171</v>
      </c>
      <c r="M124" t="s">
        <v>1848</v>
      </c>
      <c r="N124" t="s">
        <v>1811</v>
      </c>
    </row>
    <row r="125" spans="1:14" x14ac:dyDescent="0.25">
      <c r="A125" s="1" t="s">
        <v>1808</v>
      </c>
      <c r="B125" s="8">
        <v>0.56041666666666667</v>
      </c>
      <c r="C125" t="s">
        <v>1635</v>
      </c>
      <c r="D125" s="1" t="s">
        <v>1923</v>
      </c>
      <c r="E125" t="s">
        <v>1655</v>
      </c>
      <c r="F125" s="1" t="s">
        <v>1658</v>
      </c>
      <c r="G125" s="10">
        <v>63846.55</v>
      </c>
      <c r="H125" s="10">
        <v>2719</v>
      </c>
      <c r="I125" s="10" t="s">
        <v>1809</v>
      </c>
      <c r="J125" s="10">
        <v>72819.25</v>
      </c>
      <c r="K125" t="s">
        <v>1810</v>
      </c>
      <c r="L125" t="s">
        <v>171</v>
      </c>
      <c r="M125" t="s">
        <v>1848</v>
      </c>
      <c r="N125" t="s">
        <v>1811</v>
      </c>
    </row>
    <row r="126" spans="1:14" x14ac:dyDescent="0.25">
      <c r="A126" s="1" t="s">
        <v>1808</v>
      </c>
      <c r="B126" s="8">
        <v>0.56111111111111112</v>
      </c>
      <c r="C126" t="s">
        <v>1635</v>
      </c>
      <c r="D126" s="1" t="s">
        <v>1923</v>
      </c>
      <c r="E126" t="s">
        <v>1655</v>
      </c>
      <c r="F126" s="1" t="s">
        <v>1659</v>
      </c>
      <c r="G126" s="10">
        <v>40074.92</v>
      </c>
      <c r="H126" s="10">
        <v>4428</v>
      </c>
      <c r="I126" s="10" t="s">
        <v>1809</v>
      </c>
      <c r="J126" s="10">
        <v>54687.32</v>
      </c>
      <c r="K126" t="s">
        <v>1810</v>
      </c>
      <c r="L126" t="s">
        <v>171</v>
      </c>
      <c r="M126" t="s">
        <v>1848</v>
      </c>
      <c r="N126" t="s">
        <v>1811</v>
      </c>
    </row>
    <row r="127" spans="1:14" x14ac:dyDescent="0.25">
      <c r="A127" s="1" t="s">
        <v>1808</v>
      </c>
      <c r="B127" s="8">
        <v>0.56111111111111112</v>
      </c>
      <c r="C127" t="s">
        <v>1635</v>
      </c>
      <c r="D127" s="1" t="s">
        <v>1923</v>
      </c>
      <c r="E127" t="s">
        <v>1655</v>
      </c>
      <c r="F127" s="1" t="s">
        <v>1660</v>
      </c>
      <c r="G127" s="10">
        <v>47361</v>
      </c>
      <c r="H127" s="10">
        <v>1715</v>
      </c>
      <c r="I127" s="10" t="s">
        <v>1809</v>
      </c>
      <c r="J127" s="10">
        <v>53020.5</v>
      </c>
      <c r="K127" t="s">
        <v>1810</v>
      </c>
      <c r="L127" t="s">
        <v>171</v>
      </c>
      <c r="M127" t="s">
        <v>1848</v>
      </c>
      <c r="N127" t="s">
        <v>1811</v>
      </c>
    </row>
    <row r="128" spans="1:14" x14ac:dyDescent="0.25">
      <c r="A128" s="1" t="s">
        <v>1808</v>
      </c>
      <c r="B128" s="8">
        <v>0.56111111111111112</v>
      </c>
      <c r="C128" t="s">
        <v>1635</v>
      </c>
      <c r="D128" s="1" t="s">
        <v>1924</v>
      </c>
      <c r="E128" t="s">
        <v>1661</v>
      </c>
      <c r="F128" s="1" t="s">
        <v>1662</v>
      </c>
      <c r="G128" s="10">
        <v>58640.46</v>
      </c>
      <c r="H128" s="10">
        <v>-6886</v>
      </c>
      <c r="I128" s="10" t="s">
        <v>1809</v>
      </c>
      <c r="J128" s="10">
        <v>35916.660000000003</v>
      </c>
      <c r="K128" t="s">
        <v>1812</v>
      </c>
      <c r="L128" t="s">
        <v>1488</v>
      </c>
      <c r="M128" t="s">
        <v>1849</v>
      </c>
      <c r="N128" t="s">
        <v>1811</v>
      </c>
    </row>
    <row r="129" spans="1:14" x14ac:dyDescent="0.25">
      <c r="A129" s="1" t="s">
        <v>1808</v>
      </c>
      <c r="B129" s="8">
        <v>0.56111111111111112</v>
      </c>
      <c r="C129" t="s">
        <v>1635</v>
      </c>
      <c r="D129" s="1" t="s">
        <v>1924</v>
      </c>
      <c r="E129" t="s">
        <v>1661</v>
      </c>
      <c r="F129" s="1" t="s">
        <v>1663</v>
      </c>
      <c r="G129" s="10">
        <v>46686.06</v>
      </c>
      <c r="H129" s="10">
        <v>16411</v>
      </c>
      <c r="I129" s="10" t="s">
        <v>1809</v>
      </c>
      <c r="J129" s="10">
        <v>100842.35999999999</v>
      </c>
      <c r="K129" t="s">
        <v>1810</v>
      </c>
      <c r="L129" t="s">
        <v>1488</v>
      </c>
      <c r="M129" t="s">
        <v>1849</v>
      </c>
      <c r="N129" t="s">
        <v>1811</v>
      </c>
    </row>
    <row r="130" spans="1:14" x14ac:dyDescent="0.25">
      <c r="A130" s="1" t="s">
        <v>1808</v>
      </c>
      <c r="B130" s="8">
        <v>0.56111111111111112</v>
      </c>
      <c r="C130" t="s">
        <v>1635</v>
      </c>
      <c r="D130" s="1" t="s">
        <v>1925</v>
      </c>
      <c r="E130" t="s">
        <v>1664</v>
      </c>
      <c r="F130" s="1">
        <v>7412</v>
      </c>
      <c r="G130" s="10">
        <v>7776.69</v>
      </c>
      <c r="H130" s="10">
        <v>2706</v>
      </c>
      <c r="I130" s="10" t="s">
        <v>1809</v>
      </c>
      <c r="J130" s="10">
        <v>16706.489999999998</v>
      </c>
      <c r="K130" t="s">
        <v>1810</v>
      </c>
      <c r="L130" t="s">
        <v>1464</v>
      </c>
      <c r="M130" t="s">
        <v>1850</v>
      </c>
      <c r="N130" t="s">
        <v>1811</v>
      </c>
    </row>
    <row r="131" spans="1:14" x14ac:dyDescent="0.25">
      <c r="A131" s="1" t="s">
        <v>1808</v>
      </c>
      <c r="B131" s="8">
        <v>0.56111111111111112</v>
      </c>
      <c r="C131" t="s">
        <v>1635</v>
      </c>
      <c r="D131" s="1" t="s">
        <v>1925</v>
      </c>
      <c r="E131" t="s">
        <v>1664</v>
      </c>
      <c r="F131" s="1">
        <v>7413</v>
      </c>
      <c r="G131" s="10">
        <v>13767.62</v>
      </c>
      <c r="H131" s="10">
        <v>1592</v>
      </c>
      <c r="I131" s="10" t="s">
        <v>1809</v>
      </c>
      <c r="J131" s="10">
        <v>19021.22</v>
      </c>
      <c r="K131" t="s">
        <v>1810</v>
      </c>
      <c r="L131" t="s">
        <v>1464</v>
      </c>
      <c r="M131" t="s">
        <v>1850</v>
      </c>
      <c r="N131" t="s">
        <v>1811</v>
      </c>
    </row>
    <row r="132" spans="1:14" x14ac:dyDescent="0.25">
      <c r="A132" s="1" t="s">
        <v>1808</v>
      </c>
      <c r="B132" s="8">
        <v>0.56111111111111112</v>
      </c>
      <c r="C132" t="s">
        <v>1635</v>
      </c>
      <c r="D132" s="1" t="s">
        <v>1925</v>
      </c>
      <c r="E132" t="s">
        <v>1664</v>
      </c>
      <c r="F132" s="1">
        <v>7414</v>
      </c>
      <c r="G132" s="10">
        <v>39780.199999999997</v>
      </c>
      <c r="H132" s="10">
        <v>5499</v>
      </c>
      <c r="I132" s="10" t="s">
        <v>1809</v>
      </c>
      <c r="J132" s="10">
        <v>57926.899999999994</v>
      </c>
      <c r="K132" t="s">
        <v>1810</v>
      </c>
      <c r="L132" t="s">
        <v>1464</v>
      </c>
      <c r="M132" t="s">
        <v>1850</v>
      </c>
      <c r="N132" t="s">
        <v>1811</v>
      </c>
    </row>
    <row r="133" spans="1:14" x14ac:dyDescent="0.25">
      <c r="A133" s="1" t="s">
        <v>1808</v>
      </c>
      <c r="B133" s="8">
        <v>0.56111111111111112</v>
      </c>
      <c r="C133" t="s">
        <v>1635</v>
      </c>
      <c r="D133" s="1" t="s">
        <v>1926</v>
      </c>
      <c r="E133" t="s">
        <v>1665</v>
      </c>
      <c r="F133" s="1" t="s">
        <v>1666</v>
      </c>
      <c r="G133" s="10">
        <v>22188.5</v>
      </c>
      <c r="H133" s="10">
        <v>-1472</v>
      </c>
      <c r="I133" s="10" t="s">
        <v>1809</v>
      </c>
      <c r="J133" s="10">
        <v>17330.900000000001</v>
      </c>
      <c r="K133" t="s">
        <v>1812</v>
      </c>
      <c r="L133" t="s">
        <v>1492</v>
      </c>
      <c r="M133" t="s">
        <v>1851</v>
      </c>
      <c r="N133" t="s">
        <v>1811</v>
      </c>
    </row>
    <row r="134" spans="1:14" x14ac:dyDescent="0.25">
      <c r="A134" s="1" t="s">
        <v>1808</v>
      </c>
      <c r="B134" s="8">
        <v>0.56111111111111112</v>
      </c>
      <c r="C134" t="s">
        <v>1635</v>
      </c>
      <c r="D134" s="1" t="s">
        <v>1926</v>
      </c>
      <c r="E134" t="s">
        <v>1665</v>
      </c>
      <c r="F134" s="1" t="s">
        <v>1667</v>
      </c>
      <c r="G134" s="10">
        <v>66821.460000000006</v>
      </c>
      <c r="H134" s="10">
        <v>3201</v>
      </c>
      <c r="I134" s="10" t="s">
        <v>1809</v>
      </c>
      <c r="J134" s="10">
        <v>77384.760000000009</v>
      </c>
      <c r="K134" t="s">
        <v>1810</v>
      </c>
      <c r="L134" t="s">
        <v>1492</v>
      </c>
      <c r="M134" t="s">
        <v>1851</v>
      </c>
      <c r="N134" t="s">
        <v>1811</v>
      </c>
    </row>
    <row r="135" spans="1:14" x14ac:dyDescent="0.25">
      <c r="A135" s="1" t="s">
        <v>1808</v>
      </c>
      <c r="B135" s="8">
        <v>0.56180555555555556</v>
      </c>
      <c r="C135" t="s">
        <v>1635</v>
      </c>
      <c r="D135" s="1" t="s">
        <v>1926</v>
      </c>
      <c r="E135" t="s">
        <v>1665</v>
      </c>
      <c r="F135" s="1" t="s">
        <v>1668</v>
      </c>
      <c r="G135" s="10">
        <v>34093.17</v>
      </c>
      <c r="H135" s="10">
        <v>1473</v>
      </c>
      <c r="I135" s="10" t="s">
        <v>1809</v>
      </c>
      <c r="J135" s="10">
        <v>38954.07</v>
      </c>
      <c r="K135" t="s">
        <v>1810</v>
      </c>
      <c r="L135" t="s">
        <v>1492</v>
      </c>
      <c r="M135" t="s">
        <v>1851</v>
      </c>
      <c r="N135" t="s">
        <v>1811</v>
      </c>
    </row>
    <row r="136" spans="1:14" x14ac:dyDescent="0.25">
      <c r="A136" s="1" t="s">
        <v>1808</v>
      </c>
      <c r="B136" s="8">
        <v>0.56180555555555556</v>
      </c>
      <c r="C136" t="s">
        <v>1635</v>
      </c>
      <c r="D136" s="1" t="s">
        <v>1927</v>
      </c>
      <c r="E136" t="s">
        <v>1669</v>
      </c>
      <c r="F136" s="1">
        <v>4021</v>
      </c>
      <c r="G136" s="10">
        <v>69240.36</v>
      </c>
      <c r="H136" s="10">
        <v>3263</v>
      </c>
      <c r="I136" s="10" t="s">
        <v>1809</v>
      </c>
      <c r="J136" s="10">
        <v>80008.259999999995</v>
      </c>
      <c r="K136" t="s">
        <v>1810</v>
      </c>
      <c r="L136" t="s">
        <v>73</v>
      </c>
      <c r="M136" t="s">
        <v>1852</v>
      </c>
      <c r="N136" t="s">
        <v>1811</v>
      </c>
    </row>
    <row r="137" spans="1:14" x14ac:dyDescent="0.25">
      <c r="A137" s="1" t="s">
        <v>1808</v>
      </c>
      <c r="B137" s="8">
        <v>0.56180555555555556</v>
      </c>
      <c r="C137" t="s">
        <v>1635</v>
      </c>
      <c r="D137" s="1" t="s">
        <v>1927</v>
      </c>
      <c r="E137" t="s">
        <v>1669</v>
      </c>
      <c r="F137" s="1">
        <v>4022</v>
      </c>
      <c r="G137" s="10">
        <v>11214.84</v>
      </c>
      <c r="H137" s="10">
        <v>8982</v>
      </c>
      <c r="I137" s="10" t="s">
        <v>1809</v>
      </c>
      <c r="J137" s="10">
        <v>40855.440000000002</v>
      </c>
      <c r="K137" t="s">
        <v>1810</v>
      </c>
      <c r="L137" t="s">
        <v>73</v>
      </c>
      <c r="M137" t="s">
        <v>1852</v>
      </c>
      <c r="N137" t="s">
        <v>1811</v>
      </c>
    </row>
    <row r="138" spans="1:14" x14ac:dyDescent="0.25">
      <c r="A138" s="1" t="s">
        <v>1808</v>
      </c>
      <c r="B138" s="8">
        <v>0.56180555555555556</v>
      </c>
      <c r="C138" t="s">
        <v>1635</v>
      </c>
      <c r="D138" s="1" t="s">
        <v>1927</v>
      </c>
      <c r="E138" t="s">
        <v>1669</v>
      </c>
      <c r="F138" s="1">
        <v>4023</v>
      </c>
      <c r="G138" s="10">
        <v>42794.11</v>
      </c>
      <c r="H138" s="10">
        <v>13577</v>
      </c>
      <c r="I138" s="10" t="s">
        <v>1809</v>
      </c>
      <c r="J138" s="10">
        <v>87598.209999999992</v>
      </c>
      <c r="K138" t="s">
        <v>1810</v>
      </c>
      <c r="L138" t="s">
        <v>73</v>
      </c>
      <c r="M138" t="s">
        <v>1852</v>
      </c>
      <c r="N138" t="s">
        <v>1811</v>
      </c>
    </row>
    <row r="139" spans="1:14" x14ac:dyDescent="0.25">
      <c r="A139" s="1" t="s">
        <v>1808</v>
      </c>
      <c r="B139" s="8">
        <v>0.56180555555555556</v>
      </c>
      <c r="C139" t="s">
        <v>1635</v>
      </c>
      <c r="D139" s="1" t="s">
        <v>1927</v>
      </c>
      <c r="E139" t="s">
        <v>1669</v>
      </c>
      <c r="F139" s="1">
        <v>4024</v>
      </c>
      <c r="G139" s="10">
        <v>21724.85</v>
      </c>
      <c r="H139" s="10">
        <v>14862</v>
      </c>
      <c r="I139" s="10" t="s">
        <v>1809</v>
      </c>
      <c r="J139" s="10">
        <v>70769.45</v>
      </c>
      <c r="K139" t="s">
        <v>1810</v>
      </c>
      <c r="L139" t="s">
        <v>73</v>
      </c>
      <c r="M139" t="s">
        <v>1852</v>
      </c>
      <c r="N139" t="s">
        <v>1811</v>
      </c>
    </row>
    <row r="140" spans="1:14" x14ac:dyDescent="0.25">
      <c r="A140" s="1" t="s">
        <v>1808</v>
      </c>
      <c r="B140" s="8">
        <v>0.56180555555555556</v>
      </c>
      <c r="C140" t="s">
        <v>1635</v>
      </c>
      <c r="D140" s="1" t="s">
        <v>1927</v>
      </c>
      <c r="E140" t="s">
        <v>1669</v>
      </c>
      <c r="F140" s="1">
        <v>4025</v>
      </c>
      <c r="G140" s="10">
        <v>15666.39</v>
      </c>
      <c r="H140" s="10">
        <v>6811</v>
      </c>
      <c r="I140" s="10" t="s">
        <v>1809</v>
      </c>
      <c r="J140" s="10">
        <v>38142.69</v>
      </c>
      <c r="K140" t="s">
        <v>1810</v>
      </c>
      <c r="L140" t="s">
        <v>73</v>
      </c>
      <c r="M140" t="s">
        <v>1852</v>
      </c>
      <c r="N140" t="s">
        <v>1811</v>
      </c>
    </row>
    <row r="141" spans="1:14" x14ac:dyDescent="0.25">
      <c r="A141" s="1" t="s">
        <v>1808</v>
      </c>
      <c r="B141" s="8">
        <v>0.56180555555555556</v>
      </c>
      <c r="C141" t="s">
        <v>1635</v>
      </c>
      <c r="D141" s="1" t="s">
        <v>1927</v>
      </c>
      <c r="E141" t="s">
        <v>1669</v>
      </c>
      <c r="F141" s="1">
        <v>4027</v>
      </c>
      <c r="G141" s="10">
        <v>56520.71</v>
      </c>
      <c r="H141" s="10">
        <v>10899</v>
      </c>
      <c r="I141" s="10" t="s">
        <v>1809</v>
      </c>
      <c r="J141" s="10">
        <v>92487.41</v>
      </c>
      <c r="K141" t="s">
        <v>1810</v>
      </c>
      <c r="L141" t="s">
        <v>73</v>
      </c>
      <c r="M141" t="s">
        <v>1852</v>
      </c>
      <c r="N141" t="s">
        <v>1811</v>
      </c>
    </row>
    <row r="142" spans="1:14" x14ac:dyDescent="0.25">
      <c r="A142" s="1" t="s">
        <v>1808</v>
      </c>
      <c r="B142" s="8">
        <v>0.56180555555555556</v>
      </c>
      <c r="C142" t="s">
        <v>1635</v>
      </c>
      <c r="D142" s="1" t="s">
        <v>1928</v>
      </c>
      <c r="E142" t="s">
        <v>1670</v>
      </c>
      <c r="F142" s="1">
        <v>7511</v>
      </c>
      <c r="G142" s="10">
        <v>10970.26</v>
      </c>
      <c r="H142" s="10">
        <v>7408.01</v>
      </c>
      <c r="I142" s="10" t="s">
        <v>1809</v>
      </c>
      <c r="J142" s="10">
        <v>35416.692999999999</v>
      </c>
      <c r="K142" t="s">
        <v>1810</v>
      </c>
      <c r="L142" t="s">
        <v>1387</v>
      </c>
      <c r="M142" t="s">
        <v>1853</v>
      </c>
      <c r="N142" t="s">
        <v>1811</v>
      </c>
    </row>
    <row r="143" spans="1:14" x14ac:dyDescent="0.25">
      <c r="A143" s="1" t="s">
        <v>1808</v>
      </c>
      <c r="B143" s="8">
        <v>0.5625</v>
      </c>
      <c r="C143" t="s">
        <v>1635</v>
      </c>
      <c r="D143" s="1" t="s">
        <v>1928</v>
      </c>
      <c r="E143" t="s">
        <v>1670</v>
      </c>
      <c r="F143" s="1">
        <v>7512</v>
      </c>
      <c r="G143" s="10">
        <v>22513.67</v>
      </c>
      <c r="H143" s="10">
        <v>2947</v>
      </c>
      <c r="I143" s="10" t="s">
        <v>1809</v>
      </c>
      <c r="J143" s="10">
        <v>32238.769999999997</v>
      </c>
      <c r="K143" t="s">
        <v>1810</v>
      </c>
      <c r="L143" t="s">
        <v>1387</v>
      </c>
      <c r="M143" t="s">
        <v>1853</v>
      </c>
      <c r="N143" t="s">
        <v>1811</v>
      </c>
    </row>
    <row r="144" spans="1:14" x14ac:dyDescent="0.25">
      <c r="A144" s="1" t="s">
        <v>1808</v>
      </c>
      <c r="B144" s="8">
        <v>0.5625</v>
      </c>
      <c r="C144" t="s">
        <v>1635</v>
      </c>
      <c r="D144" s="1" t="s">
        <v>1928</v>
      </c>
      <c r="E144" t="s">
        <v>1670</v>
      </c>
      <c r="F144" s="1">
        <v>7513</v>
      </c>
      <c r="G144" s="10">
        <v>11808.95</v>
      </c>
      <c r="H144" s="10">
        <v>4180</v>
      </c>
      <c r="I144" s="10" t="s">
        <v>1809</v>
      </c>
      <c r="J144" s="10">
        <v>25602.95</v>
      </c>
      <c r="K144" t="s">
        <v>1810</v>
      </c>
      <c r="L144" t="s">
        <v>1387</v>
      </c>
      <c r="M144" t="s">
        <v>1853</v>
      </c>
      <c r="N144" t="s">
        <v>1811</v>
      </c>
    </row>
    <row r="145" spans="1:14" x14ac:dyDescent="0.25">
      <c r="A145" s="1" t="s">
        <v>1808</v>
      </c>
      <c r="B145" s="8">
        <v>0.5625</v>
      </c>
      <c r="C145" t="s">
        <v>1635</v>
      </c>
      <c r="D145" s="1" t="s">
        <v>1928</v>
      </c>
      <c r="E145" t="s">
        <v>1670</v>
      </c>
      <c r="F145" s="1">
        <v>7514</v>
      </c>
      <c r="G145" s="10">
        <v>19270.7</v>
      </c>
      <c r="H145" s="10">
        <v>2830</v>
      </c>
      <c r="I145" s="10" t="s">
        <v>1809</v>
      </c>
      <c r="J145" s="10">
        <v>28609.7</v>
      </c>
      <c r="K145" t="s">
        <v>1810</v>
      </c>
      <c r="L145" t="s">
        <v>1387</v>
      </c>
      <c r="M145" t="s">
        <v>1853</v>
      </c>
      <c r="N145" t="s">
        <v>1811</v>
      </c>
    </row>
    <row r="146" spans="1:14" x14ac:dyDescent="0.25">
      <c r="A146" s="1" t="s">
        <v>1808</v>
      </c>
      <c r="B146" s="8">
        <v>0.5625</v>
      </c>
      <c r="C146" t="s">
        <v>1635</v>
      </c>
      <c r="D146" s="1" t="s">
        <v>1929</v>
      </c>
      <c r="E146" t="s">
        <v>1671</v>
      </c>
      <c r="F146" s="1" t="s">
        <v>1672</v>
      </c>
      <c r="G146" s="10">
        <v>51662.21</v>
      </c>
      <c r="H146" s="10">
        <v>28002</v>
      </c>
      <c r="I146" s="10" t="s">
        <v>1809</v>
      </c>
      <c r="J146" s="10">
        <v>144068.81</v>
      </c>
      <c r="K146" t="s">
        <v>1810</v>
      </c>
      <c r="L146" t="s">
        <v>1472</v>
      </c>
      <c r="M146" t="s">
        <v>1854</v>
      </c>
      <c r="N146" t="s">
        <v>1811</v>
      </c>
    </row>
    <row r="147" spans="1:14" x14ac:dyDescent="0.25">
      <c r="A147" s="1" t="s">
        <v>1808</v>
      </c>
      <c r="B147" s="8">
        <v>0.5625</v>
      </c>
      <c r="C147" t="s">
        <v>1635</v>
      </c>
      <c r="D147" s="1" t="s">
        <v>1929</v>
      </c>
      <c r="E147" t="s">
        <v>1671</v>
      </c>
      <c r="F147" s="1" t="s">
        <v>1673</v>
      </c>
      <c r="G147" s="10">
        <v>6048.19</v>
      </c>
      <c r="H147" s="10">
        <v>5195</v>
      </c>
      <c r="I147" s="10" t="s">
        <v>1809</v>
      </c>
      <c r="J147" s="10">
        <v>23191.69</v>
      </c>
      <c r="K147" t="s">
        <v>1810</v>
      </c>
      <c r="L147" t="s">
        <v>1472</v>
      </c>
      <c r="M147" t="s">
        <v>1854</v>
      </c>
      <c r="N147" t="s">
        <v>1811</v>
      </c>
    </row>
    <row r="148" spans="1:14" x14ac:dyDescent="0.25">
      <c r="A148" s="1" t="s">
        <v>1808</v>
      </c>
      <c r="B148" s="8">
        <v>0.5625</v>
      </c>
      <c r="C148" t="s">
        <v>1635</v>
      </c>
      <c r="D148" s="1" t="s">
        <v>1929</v>
      </c>
      <c r="E148" t="s">
        <v>1671</v>
      </c>
      <c r="F148" s="1" t="s">
        <v>1674</v>
      </c>
      <c r="G148" s="10">
        <v>69595.12</v>
      </c>
      <c r="H148" s="10">
        <v>11891</v>
      </c>
      <c r="I148" s="10" t="s">
        <v>1809</v>
      </c>
      <c r="J148" s="10">
        <v>108835.41999999998</v>
      </c>
      <c r="K148" t="s">
        <v>1810</v>
      </c>
      <c r="L148" t="s">
        <v>1472</v>
      </c>
      <c r="M148" t="s">
        <v>1854</v>
      </c>
      <c r="N148" t="s">
        <v>1811</v>
      </c>
    </row>
    <row r="149" spans="1:14" x14ac:dyDescent="0.25">
      <c r="A149" s="1" t="s">
        <v>1808</v>
      </c>
      <c r="B149" s="8">
        <v>0.5625</v>
      </c>
      <c r="C149" t="s">
        <v>1635</v>
      </c>
      <c r="D149" s="1" t="s">
        <v>1929</v>
      </c>
      <c r="E149" t="s">
        <v>1671</v>
      </c>
      <c r="F149" s="1" t="s">
        <v>1675</v>
      </c>
      <c r="G149" s="10">
        <v>1033.4000000000001</v>
      </c>
      <c r="H149" s="10">
        <v>927</v>
      </c>
      <c r="I149" s="10" t="s">
        <v>1809</v>
      </c>
      <c r="J149" s="10">
        <v>4092.5</v>
      </c>
      <c r="K149" t="s">
        <v>1810</v>
      </c>
      <c r="L149" t="s">
        <v>1472</v>
      </c>
      <c r="M149" t="s">
        <v>1854</v>
      </c>
      <c r="N149" t="s">
        <v>1811</v>
      </c>
    </row>
    <row r="150" spans="1:14" x14ac:dyDescent="0.25">
      <c r="A150" s="1" t="s">
        <v>1808</v>
      </c>
      <c r="B150" s="8">
        <v>0.5625</v>
      </c>
      <c r="C150" t="s">
        <v>1635</v>
      </c>
      <c r="D150" s="1" t="s">
        <v>1929</v>
      </c>
      <c r="E150" t="s">
        <v>1671</v>
      </c>
      <c r="F150" s="1" t="s">
        <v>1676</v>
      </c>
      <c r="G150" s="10">
        <v>40236.26</v>
      </c>
      <c r="H150" s="10">
        <v>14658</v>
      </c>
      <c r="I150" s="10" t="s">
        <v>1809</v>
      </c>
      <c r="J150" s="10">
        <v>88607.66</v>
      </c>
      <c r="K150" t="s">
        <v>1810</v>
      </c>
      <c r="L150" t="s">
        <v>1472</v>
      </c>
      <c r="M150" t="s">
        <v>1854</v>
      </c>
      <c r="N150" t="s">
        <v>1811</v>
      </c>
    </row>
    <row r="151" spans="1:14" x14ac:dyDescent="0.25">
      <c r="A151" s="1" t="s">
        <v>1808</v>
      </c>
      <c r="B151" s="8">
        <v>0.56319444444444444</v>
      </c>
      <c r="C151" t="s">
        <v>1635</v>
      </c>
      <c r="D151" s="1" t="s">
        <v>1930</v>
      </c>
      <c r="E151" t="s">
        <v>1677</v>
      </c>
      <c r="F151" s="1" t="s">
        <v>1678</v>
      </c>
      <c r="G151" s="10">
        <v>-33408.32</v>
      </c>
      <c r="H151" s="10">
        <v>14625</v>
      </c>
      <c r="I151" s="10" t="s">
        <v>1809</v>
      </c>
      <c r="J151" s="10">
        <v>14854.18</v>
      </c>
      <c r="K151" t="s">
        <v>1812</v>
      </c>
      <c r="L151" t="s">
        <v>77</v>
      </c>
      <c r="M151" t="s">
        <v>1855</v>
      </c>
      <c r="N151" t="s">
        <v>1811</v>
      </c>
    </row>
    <row r="152" spans="1:14" x14ac:dyDescent="0.25">
      <c r="A152" s="1" t="s">
        <v>1808</v>
      </c>
      <c r="B152" s="8">
        <v>0.56319444444444444</v>
      </c>
      <c r="C152" t="s">
        <v>1635</v>
      </c>
      <c r="D152" s="1" t="s">
        <v>1930</v>
      </c>
      <c r="E152" t="s">
        <v>1677</v>
      </c>
      <c r="F152" s="1" t="s">
        <v>1679</v>
      </c>
      <c r="G152" s="10">
        <v>6211.17</v>
      </c>
      <c r="H152" s="10">
        <v>18875</v>
      </c>
      <c r="I152" s="10" t="s">
        <v>1809</v>
      </c>
      <c r="J152" s="10">
        <v>68498.67</v>
      </c>
      <c r="K152" t="s">
        <v>1810</v>
      </c>
      <c r="L152" t="s">
        <v>77</v>
      </c>
      <c r="M152" t="s">
        <v>1855</v>
      </c>
      <c r="N152" t="s">
        <v>1811</v>
      </c>
    </row>
    <row r="153" spans="1:14" x14ac:dyDescent="0.25">
      <c r="A153" s="1" t="s">
        <v>1808</v>
      </c>
      <c r="B153" s="8">
        <v>0.56319444444444444</v>
      </c>
      <c r="C153" t="s">
        <v>1635</v>
      </c>
      <c r="D153" s="1" t="s">
        <v>1931</v>
      </c>
      <c r="E153" t="s">
        <v>1680</v>
      </c>
      <c r="F153" s="1">
        <v>3721</v>
      </c>
      <c r="G153" s="10">
        <v>91450.32</v>
      </c>
      <c r="H153" s="10">
        <v>5947</v>
      </c>
      <c r="I153" s="10" t="s">
        <v>1809</v>
      </c>
      <c r="J153" s="10">
        <v>111075.42000000001</v>
      </c>
      <c r="K153" t="s">
        <v>1810</v>
      </c>
      <c r="L153" t="s">
        <v>199</v>
      </c>
      <c r="M153" t="s">
        <v>1856</v>
      </c>
      <c r="N153" t="s">
        <v>1811</v>
      </c>
    </row>
    <row r="154" spans="1:14" x14ac:dyDescent="0.25">
      <c r="A154" s="1" t="s">
        <v>1808</v>
      </c>
      <c r="B154" s="8">
        <v>0.56319444444444444</v>
      </c>
      <c r="C154" t="s">
        <v>1635</v>
      </c>
      <c r="D154" s="1" t="s">
        <v>1931</v>
      </c>
      <c r="E154" t="s">
        <v>1680</v>
      </c>
      <c r="F154" s="1">
        <v>3722</v>
      </c>
      <c r="G154" s="10">
        <v>26174.400000000001</v>
      </c>
      <c r="H154" s="10">
        <v>9552</v>
      </c>
      <c r="I154" s="10" t="s">
        <v>1809</v>
      </c>
      <c r="J154" s="10">
        <v>57696</v>
      </c>
      <c r="K154" t="s">
        <v>1810</v>
      </c>
      <c r="L154" t="s">
        <v>199</v>
      </c>
      <c r="M154" t="s">
        <v>1856</v>
      </c>
      <c r="N154" t="s">
        <v>1811</v>
      </c>
    </row>
    <row r="155" spans="1:14" x14ac:dyDescent="0.25">
      <c r="A155" s="1" t="s">
        <v>1808</v>
      </c>
      <c r="B155" s="8">
        <v>0.56319444444444444</v>
      </c>
      <c r="C155" t="s">
        <v>1635</v>
      </c>
      <c r="D155" s="1" t="s">
        <v>1931</v>
      </c>
      <c r="E155" t="s">
        <v>1680</v>
      </c>
      <c r="F155" s="1">
        <v>3723</v>
      </c>
      <c r="G155" s="10">
        <v>-2680.54</v>
      </c>
      <c r="H155" s="10">
        <v>10501</v>
      </c>
      <c r="I155" s="10" t="s">
        <v>1809</v>
      </c>
      <c r="J155" s="10">
        <v>31972.759999999995</v>
      </c>
      <c r="K155" t="s">
        <v>1812</v>
      </c>
      <c r="L155" t="s">
        <v>199</v>
      </c>
      <c r="M155" t="s">
        <v>1856</v>
      </c>
      <c r="N155" t="s">
        <v>1811</v>
      </c>
    </row>
    <row r="156" spans="1:14" x14ac:dyDescent="0.25">
      <c r="B156" s="8">
        <v>0.56319444444444444</v>
      </c>
      <c r="C156" t="s">
        <v>1635</v>
      </c>
      <c r="D156" s="1" t="s">
        <v>1931</v>
      </c>
      <c r="E156" t="s">
        <v>1680</v>
      </c>
      <c r="F156" s="1">
        <v>3724</v>
      </c>
      <c r="G156" s="10">
        <v>25923.3</v>
      </c>
      <c r="H156" s="10">
        <v>11752</v>
      </c>
      <c r="I156" s="10" t="s">
        <v>1809</v>
      </c>
      <c r="J156" s="10">
        <v>64704.899999999994</v>
      </c>
      <c r="K156" t="s">
        <v>1810</v>
      </c>
      <c r="L156" t="s">
        <v>199</v>
      </c>
      <c r="M156" t="s">
        <v>1856</v>
      </c>
      <c r="N156" t="s">
        <v>1811</v>
      </c>
    </row>
    <row r="157" spans="1:14" x14ac:dyDescent="0.25">
      <c r="A157" s="1" t="s">
        <v>1808</v>
      </c>
      <c r="B157" s="8">
        <v>0.56319444444444444</v>
      </c>
      <c r="C157" t="s">
        <v>1635</v>
      </c>
      <c r="D157" s="1" t="s">
        <v>1931</v>
      </c>
      <c r="E157" t="s">
        <v>1680</v>
      </c>
      <c r="F157" s="1">
        <v>3725</v>
      </c>
      <c r="G157" s="10">
        <v>30627.8</v>
      </c>
      <c r="H157" s="10">
        <v>2236</v>
      </c>
      <c r="I157" s="10" t="s">
        <v>1809</v>
      </c>
      <c r="J157" s="10">
        <v>38006.6</v>
      </c>
      <c r="K157" t="s">
        <v>1810</v>
      </c>
      <c r="L157" t="s">
        <v>199</v>
      </c>
      <c r="M157" t="s">
        <v>1856</v>
      </c>
      <c r="N157" t="s">
        <v>1811</v>
      </c>
    </row>
    <row r="158" spans="1:14" x14ac:dyDescent="0.25">
      <c r="A158" s="1" t="s">
        <v>1808</v>
      </c>
      <c r="B158" s="8">
        <v>0.56319444444444444</v>
      </c>
      <c r="C158" t="s">
        <v>1635</v>
      </c>
      <c r="D158" s="1" t="s">
        <v>1932</v>
      </c>
      <c r="E158" t="s">
        <v>1681</v>
      </c>
      <c r="F158" s="1" t="s">
        <v>1682</v>
      </c>
      <c r="G158" s="10">
        <v>70009</v>
      </c>
      <c r="H158" s="10">
        <v>13614</v>
      </c>
      <c r="I158" s="10" t="s">
        <v>1809</v>
      </c>
      <c r="J158" s="10">
        <v>114935.2</v>
      </c>
      <c r="K158" t="s">
        <v>1810</v>
      </c>
      <c r="L158" t="s">
        <v>1168</v>
      </c>
      <c r="M158" t="s">
        <v>1857</v>
      </c>
      <c r="N158" t="s">
        <v>1811</v>
      </c>
    </row>
    <row r="159" spans="1:14" x14ac:dyDescent="0.25">
      <c r="A159" s="1" t="s">
        <v>1808</v>
      </c>
      <c r="B159" s="8">
        <v>0.56388888888888888</v>
      </c>
      <c r="C159" t="s">
        <v>1635</v>
      </c>
      <c r="D159" s="1" t="s">
        <v>1932</v>
      </c>
      <c r="E159" t="s">
        <v>1681</v>
      </c>
      <c r="F159" s="1" t="s">
        <v>1683</v>
      </c>
      <c r="G159" s="10">
        <v>2934.1</v>
      </c>
      <c r="H159" s="10">
        <v>3412</v>
      </c>
      <c r="I159" s="10" t="s">
        <v>1809</v>
      </c>
      <c r="J159" s="10">
        <v>14193.699999999999</v>
      </c>
      <c r="K159" t="s">
        <v>1810</v>
      </c>
      <c r="L159" t="s">
        <v>1168</v>
      </c>
      <c r="M159" t="s">
        <v>1857</v>
      </c>
      <c r="N159" t="s">
        <v>1811</v>
      </c>
    </row>
    <row r="160" spans="1:14" x14ac:dyDescent="0.25">
      <c r="A160" s="1" t="s">
        <v>1808</v>
      </c>
      <c r="B160" s="8">
        <v>0.56388888888888888</v>
      </c>
      <c r="C160" t="s">
        <v>1635</v>
      </c>
      <c r="D160" s="1" t="s">
        <v>1932</v>
      </c>
      <c r="E160" t="s">
        <v>1681</v>
      </c>
      <c r="F160" s="1" t="s">
        <v>1684</v>
      </c>
      <c r="G160" s="10">
        <v>55969.4</v>
      </c>
      <c r="H160" s="10">
        <v>5750</v>
      </c>
      <c r="I160" s="10" t="s">
        <v>1809</v>
      </c>
      <c r="J160" s="10">
        <v>74944.399999999994</v>
      </c>
      <c r="K160" t="s">
        <v>1810</v>
      </c>
      <c r="L160" t="s">
        <v>1168</v>
      </c>
      <c r="M160" t="s">
        <v>1857</v>
      </c>
      <c r="N160" t="s">
        <v>1811</v>
      </c>
    </row>
    <row r="161" spans="1:14" x14ac:dyDescent="0.25">
      <c r="B161" s="8">
        <v>0.56388888888888888</v>
      </c>
      <c r="C161" t="s">
        <v>1635</v>
      </c>
      <c r="D161" s="1" t="s">
        <v>1932</v>
      </c>
      <c r="E161" t="s">
        <v>1681</v>
      </c>
      <c r="F161" s="1" t="s">
        <v>1685</v>
      </c>
      <c r="G161" s="10">
        <v>22889.360000000001</v>
      </c>
      <c r="H161" s="10">
        <v>5741</v>
      </c>
      <c r="I161" s="10" t="s">
        <v>1809</v>
      </c>
      <c r="J161" s="10">
        <v>41834.660000000003</v>
      </c>
      <c r="K161" t="s">
        <v>1810</v>
      </c>
      <c r="L161" t="s">
        <v>1168</v>
      </c>
      <c r="M161" t="s">
        <v>1857</v>
      </c>
      <c r="N161" t="s">
        <v>1811</v>
      </c>
    </row>
    <row r="162" spans="1:14" x14ac:dyDescent="0.25">
      <c r="A162" s="1" t="s">
        <v>1808</v>
      </c>
      <c r="B162" s="8">
        <v>0.56388888888888888</v>
      </c>
      <c r="C162" t="s">
        <v>1635</v>
      </c>
      <c r="D162" s="1" t="s">
        <v>1932</v>
      </c>
      <c r="E162" t="s">
        <v>1681</v>
      </c>
      <c r="F162" s="1" t="s">
        <v>1686</v>
      </c>
      <c r="G162" s="10">
        <v>52131.89</v>
      </c>
      <c r="H162" s="10">
        <v>3114</v>
      </c>
      <c r="I162" s="10" t="s">
        <v>1809</v>
      </c>
      <c r="J162" s="10">
        <v>62408.09</v>
      </c>
      <c r="K162" t="s">
        <v>1810</v>
      </c>
      <c r="L162" t="s">
        <v>1168</v>
      </c>
      <c r="M162" t="s">
        <v>1857</v>
      </c>
      <c r="N162" t="s">
        <v>1811</v>
      </c>
    </row>
    <row r="163" spans="1:14" x14ac:dyDescent="0.25">
      <c r="A163" s="1" t="s">
        <v>1808</v>
      </c>
      <c r="B163" s="8">
        <v>0.56388888888888888</v>
      </c>
      <c r="C163" t="s">
        <v>1635</v>
      </c>
      <c r="D163" s="1" t="s">
        <v>1933</v>
      </c>
      <c r="E163" t="s">
        <v>1687</v>
      </c>
      <c r="F163" s="1" t="s">
        <v>1688</v>
      </c>
      <c r="G163" s="10">
        <v>17057.52</v>
      </c>
      <c r="H163" s="10">
        <v>5637</v>
      </c>
      <c r="I163" s="10">
        <v>1100</v>
      </c>
      <c r="J163" s="10">
        <v>39949.619999999995</v>
      </c>
      <c r="K163" t="s">
        <v>1810</v>
      </c>
      <c r="L163" t="s">
        <v>1019</v>
      </c>
      <c r="M163" t="s">
        <v>1858</v>
      </c>
      <c r="N163" t="s">
        <v>1811</v>
      </c>
    </row>
    <row r="164" spans="1:14" x14ac:dyDescent="0.25">
      <c r="A164" s="1" t="s">
        <v>1808</v>
      </c>
      <c r="B164" s="8">
        <v>0.56388888888888888</v>
      </c>
      <c r="C164" t="s">
        <v>1635</v>
      </c>
      <c r="D164" s="1" t="s">
        <v>1933</v>
      </c>
      <c r="E164" t="s">
        <v>1687</v>
      </c>
      <c r="F164" s="1" t="s">
        <v>1689</v>
      </c>
      <c r="G164" s="10">
        <v>13712.4</v>
      </c>
      <c r="H164" s="10">
        <v>18610</v>
      </c>
      <c r="I164" s="10">
        <v>9850</v>
      </c>
      <c r="J164" s="10">
        <v>113540.4</v>
      </c>
      <c r="K164" t="s">
        <v>1810</v>
      </c>
      <c r="L164" t="s">
        <v>1019</v>
      </c>
      <c r="M164" t="s">
        <v>1858</v>
      </c>
      <c r="N164" t="s">
        <v>1811</v>
      </c>
    </row>
    <row r="165" spans="1:14" x14ac:dyDescent="0.25">
      <c r="A165" s="1" t="s">
        <v>1808</v>
      </c>
      <c r="B165" s="8">
        <v>0.56388888888888888</v>
      </c>
      <c r="C165" t="s">
        <v>1635</v>
      </c>
      <c r="D165" s="1" t="s">
        <v>1934</v>
      </c>
      <c r="E165" t="s">
        <v>1690</v>
      </c>
      <c r="F165" s="1">
        <v>3424</v>
      </c>
      <c r="G165" s="10">
        <v>77057.460000000006</v>
      </c>
      <c r="H165" s="10">
        <v>15750</v>
      </c>
      <c r="I165" s="10" t="s">
        <v>1809</v>
      </c>
      <c r="J165" s="10">
        <v>129032.46</v>
      </c>
      <c r="K165" t="s">
        <v>1810</v>
      </c>
      <c r="L165" t="s">
        <v>1156</v>
      </c>
      <c r="M165" t="s">
        <v>1859</v>
      </c>
      <c r="N165" t="s">
        <v>1811</v>
      </c>
    </row>
    <row r="166" spans="1:14" x14ac:dyDescent="0.25">
      <c r="A166" s="1" t="s">
        <v>1808</v>
      </c>
      <c r="B166" s="8">
        <v>0.56388888888888888</v>
      </c>
      <c r="C166" t="s">
        <v>1635</v>
      </c>
      <c r="D166" s="1" t="s">
        <v>1934</v>
      </c>
      <c r="E166" t="s">
        <v>1690</v>
      </c>
      <c r="F166" s="1">
        <v>3422</v>
      </c>
      <c r="G166" s="10">
        <v>75351.48</v>
      </c>
      <c r="H166" s="10">
        <v>18469</v>
      </c>
      <c r="I166" s="10" t="s">
        <v>1809</v>
      </c>
      <c r="J166" s="10">
        <v>136299.18</v>
      </c>
      <c r="K166" t="s">
        <v>1810</v>
      </c>
      <c r="L166" t="s">
        <v>1156</v>
      </c>
      <c r="M166" t="s">
        <v>1859</v>
      </c>
      <c r="N166" t="s">
        <v>1811</v>
      </c>
    </row>
    <row r="167" spans="1:14" x14ac:dyDescent="0.25">
      <c r="A167" s="1" t="s">
        <v>1808</v>
      </c>
      <c r="B167" s="8">
        <v>0.56458333333333333</v>
      </c>
      <c r="C167" t="s">
        <v>1635</v>
      </c>
      <c r="D167" s="1" t="s">
        <v>1935</v>
      </c>
      <c r="E167" t="s">
        <v>1691</v>
      </c>
      <c r="F167" s="1" t="s">
        <v>1692</v>
      </c>
      <c r="G167" s="10">
        <v>49149.81</v>
      </c>
      <c r="H167" s="10">
        <v>7910</v>
      </c>
      <c r="I167" s="10" t="s">
        <v>1809</v>
      </c>
      <c r="J167" s="10">
        <v>75252.81</v>
      </c>
      <c r="K167" t="s">
        <v>1810</v>
      </c>
      <c r="L167" t="s">
        <v>596</v>
      </c>
      <c r="M167" t="s">
        <v>1860</v>
      </c>
      <c r="N167" t="s">
        <v>1811</v>
      </c>
    </row>
    <row r="168" spans="1:14" x14ac:dyDescent="0.25">
      <c r="A168" s="1" t="s">
        <v>1808</v>
      </c>
      <c r="B168" s="8">
        <v>0.56458333333333333</v>
      </c>
      <c r="C168" t="s">
        <v>1635</v>
      </c>
      <c r="D168" s="1" t="s">
        <v>1935</v>
      </c>
      <c r="E168" t="s">
        <v>1691</v>
      </c>
      <c r="F168" s="1" t="s">
        <v>1693</v>
      </c>
      <c r="G168" s="10">
        <v>44884.160000000003</v>
      </c>
      <c r="H168" s="10">
        <v>3259</v>
      </c>
      <c r="I168" s="10" t="s">
        <v>1809</v>
      </c>
      <c r="J168" s="10">
        <v>55638.86</v>
      </c>
      <c r="K168" t="s">
        <v>1810</v>
      </c>
      <c r="L168" t="s">
        <v>596</v>
      </c>
      <c r="M168" t="s">
        <v>1860</v>
      </c>
      <c r="N168" t="s">
        <v>1811</v>
      </c>
    </row>
    <row r="169" spans="1:14" x14ac:dyDescent="0.25">
      <c r="A169" s="1" t="s">
        <v>1808</v>
      </c>
      <c r="B169" s="8">
        <v>0.56458333333333333</v>
      </c>
      <c r="C169" t="s">
        <v>1635</v>
      </c>
      <c r="D169" s="1" t="s">
        <v>1935</v>
      </c>
      <c r="E169" t="s">
        <v>1691</v>
      </c>
      <c r="F169" s="1" t="s">
        <v>1694</v>
      </c>
      <c r="G169" s="10">
        <v>48472.65</v>
      </c>
      <c r="H169" s="10">
        <v>4235</v>
      </c>
      <c r="I169" s="10" t="s">
        <v>1809</v>
      </c>
      <c r="J169" s="10">
        <v>62448.15</v>
      </c>
      <c r="K169" t="s">
        <v>1810</v>
      </c>
      <c r="L169" t="s">
        <v>596</v>
      </c>
      <c r="M169" t="s">
        <v>1860</v>
      </c>
      <c r="N169" t="s">
        <v>1811</v>
      </c>
    </row>
    <row r="170" spans="1:14" x14ac:dyDescent="0.25">
      <c r="A170" s="1" t="s">
        <v>1808</v>
      </c>
      <c r="B170" s="8">
        <v>0.56458333333333333</v>
      </c>
      <c r="C170" t="s">
        <v>1635</v>
      </c>
      <c r="D170" s="1" t="s">
        <v>1935</v>
      </c>
      <c r="E170" t="s">
        <v>1691</v>
      </c>
      <c r="F170" s="1" t="s">
        <v>1695</v>
      </c>
      <c r="G170" s="10">
        <v>56693.45</v>
      </c>
      <c r="H170" s="10">
        <v>11723</v>
      </c>
      <c r="I170" s="10" t="s">
        <v>1809</v>
      </c>
      <c r="J170" s="10">
        <v>95379.35</v>
      </c>
      <c r="K170" t="s">
        <v>1810</v>
      </c>
      <c r="L170" t="s">
        <v>596</v>
      </c>
      <c r="M170" t="s">
        <v>1860</v>
      </c>
      <c r="N170" t="s">
        <v>1811</v>
      </c>
    </row>
    <row r="171" spans="1:14" x14ac:dyDescent="0.25">
      <c r="A171" s="1" t="s">
        <v>1808</v>
      </c>
      <c r="B171" s="8">
        <v>0.56458333333333333</v>
      </c>
      <c r="C171" t="s">
        <v>1635</v>
      </c>
      <c r="D171" s="1" t="s">
        <v>1936</v>
      </c>
      <c r="E171" t="s">
        <v>1696</v>
      </c>
      <c r="F171" s="1" t="s">
        <v>1697</v>
      </c>
      <c r="G171" s="10">
        <v>40152.36</v>
      </c>
      <c r="H171" s="10">
        <v>3402</v>
      </c>
      <c r="I171" s="10" t="s">
        <v>1809</v>
      </c>
      <c r="J171" s="10">
        <v>51378.96</v>
      </c>
      <c r="K171" t="s">
        <v>1810</v>
      </c>
      <c r="L171" t="s">
        <v>878</v>
      </c>
      <c r="M171" t="s">
        <v>1861</v>
      </c>
      <c r="N171" t="s">
        <v>1811</v>
      </c>
    </row>
    <row r="172" spans="1:14" x14ac:dyDescent="0.25">
      <c r="A172" s="1" t="s">
        <v>1808</v>
      </c>
      <c r="B172" s="8">
        <v>0.56458333333333333</v>
      </c>
      <c r="C172" t="s">
        <v>1635</v>
      </c>
      <c r="D172" s="1" t="s">
        <v>1936</v>
      </c>
      <c r="E172" t="s">
        <v>1696</v>
      </c>
      <c r="F172" s="1" t="s">
        <v>1698</v>
      </c>
      <c r="G172" s="10">
        <v>30742.26</v>
      </c>
      <c r="H172" s="10">
        <v>4769</v>
      </c>
      <c r="I172" s="10" t="s">
        <v>1809</v>
      </c>
      <c r="J172" s="10">
        <v>46479.96</v>
      </c>
      <c r="K172" t="s">
        <v>1810</v>
      </c>
      <c r="L172" t="s">
        <v>878</v>
      </c>
      <c r="M172" t="s">
        <v>1861</v>
      </c>
      <c r="N172" t="s">
        <v>1811</v>
      </c>
    </row>
    <row r="173" spans="1:14" x14ac:dyDescent="0.25">
      <c r="A173" s="1" t="s">
        <v>1808</v>
      </c>
      <c r="B173" s="8">
        <v>0.56458333333333333</v>
      </c>
      <c r="C173" t="s">
        <v>1635</v>
      </c>
      <c r="D173" s="1" t="s">
        <v>1936</v>
      </c>
      <c r="E173" t="s">
        <v>1696</v>
      </c>
      <c r="F173" s="1" t="s">
        <v>1699</v>
      </c>
      <c r="G173" s="10">
        <v>20677.23</v>
      </c>
      <c r="H173" s="10">
        <v>3276</v>
      </c>
      <c r="I173" s="10" t="s">
        <v>1809</v>
      </c>
      <c r="J173" s="10">
        <v>31488.03</v>
      </c>
      <c r="K173" t="s">
        <v>1810</v>
      </c>
      <c r="L173" t="s">
        <v>878</v>
      </c>
      <c r="M173" t="s">
        <v>1861</v>
      </c>
      <c r="N173" t="s">
        <v>1811</v>
      </c>
    </row>
    <row r="174" spans="1:14" x14ac:dyDescent="0.25">
      <c r="A174" s="1" t="s">
        <v>1808</v>
      </c>
      <c r="B174" s="8">
        <v>0.56458333333333333</v>
      </c>
      <c r="C174" t="s">
        <v>1635</v>
      </c>
      <c r="D174" s="1" t="s">
        <v>1937</v>
      </c>
      <c r="E174" t="s">
        <v>1700</v>
      </c>
      <c r="F174" s="1" t="s">
        <v>1701</v>
      </c>
      <c r="G174" s="10">
        <v>48129.35</v>
      </c>
      <c r="H174" s="10">
        <v>11442</v>
      </c>
      <c r="I174" s="10" t="s">
        <v>1809</v>
      </c>
      <c r="J174" s="10">
        <v>85887.95</v>
      </c>
      <c r="K174" t="s">
        <v>1810</v>
      </c>
      <c r="L174" t="s">
        <v>1376</v>
      </c>
      <c r="M174" t="s">
        <v>1862</v>
      </c>
      <c r="N174" t="s">
        <v>1811</v>
      </c>
    </row>
    <row r="175" spans="1:14" x14ac:dyDescent="0.25">
      <c r="A175" s="1" t="s">
        <v>1808</v>
      </c>
      <c r="B175" s="8">
        <v>0.56458333333333333</v>
      </c>
      <c r="C175" t="s">
        <v>1635</v>
      </c>
      <c r="D175" s="1" t="s">
        <v>1937</v>
      </c>
      <c r="E175" t="s">
        <v>1700</v>
      </c>
      <c r="F175" s="1" t="s">
        <v>1702</v>
      </c>
      <c r="G175" s="10">
        <v>50949.41</v>
      </c>
      <c r="H175" s="10">
        <v>7855</v>
      </c>
      <c r="I175" s="10" t="s">
        <v>1809</v>
      </c>
      <c r="J175" s="10">
        <v>76870.91</v>
      </c>
      <c r="K175" t="s">
        <v>1810</v>
      </c>
      <c r="L175" t="s">
        <v>1376</v>
      </c>
      <c r="M175" t="s">
        <v>1862</v>
      </c>
      <c r="N175" t="s">
        <v>1811</v>
      </c>
    </row>
    <row r="176" spans="1:14" x14ac:dyDescent="0.25">
      <c r="A176" s="1" t="s">
        <v>1808</v>
      </c>
      <c r="B176" s="8">
        <v>0.56527777777777777</v>
      </c>
      <c r="C176" t="s">
        <v>1635</v>
      </c>
      <c r="D176" s="1" t="s">
        <v>1937</v>
      </c>
      <c r="E176" t="s">
        <v>1700</v>
      </c>
      <c r="F176" s="1" t="s">
        <v>1703</v>
      </c>
      <c r="G176" s="10">
        <v>32415.93</v>
      </c>
      <c r="H176" s="10">
        <v>6839</v>
      </c>
      <c r="I176" s="10" t="s">
        <v>1809</v>
      </c>
      <c r="J176" s="10">
        <v>54984.63</v>
      </c>
      <c r="K176" t="s">
        <v>1810</v>
      </c>
      <c r="L176" t="s">
        <v>1376</v>
      </c>
      <c r="M176" t="s">
        <v>1862</v>
      </c>
      <c r="N176" t="s">
        <v>1811</v>
      </c>
    </row>
    <row r="177" spans="1:14" x14ac:dyDescent="0.25">
      <c r="A177" s="1" t="s">
        <v>1808</v>
      </c>
      <c r="B177" s="8">
        <v>0.56527777777777777</v>
      </c>
      <c r="C177" t="s">
        <v>1635</v>
      </c>
      <c r="D177" s="1" t="s">
        <v>1938</v>
      </c>
      <c r="E177" t="s">
        <v>1704</v>
      </c>
      <c r="F177" s="1" t="s">
        <v>1705</v>
      </c>
      <c r="G177" s="10">
        <v>81199.31</v>
      </c>
      <c r="H177" s="10">
        <v>419</v>
      </c>
      <c r="I177" s="10" t="s">
        <v>1809</v>
      </c>
      <c r="J177" s="10">
        <v>82582.009999999995</v>
      </c>
      <c r="K177" t="s">
        <v>1810</v>
      </c>
      <c r="L177" t="s">
        <v>1095</v>
      </c>
      <c r="M177" t="s">
        <v>1863</v>
      </c>
      <c r="N177" t="s">
        <v>1811</v>
      </c>
    </row>
    <row r="178" spans="1:14" x14ac:dyDescent="0.25">
      <c r="A178" s="1" t="s">
        <v>1808</v>
      </c>
      <c r="B178" s="8">
        <v>0.56527777777777777</v>
      </c>
      <c r="C178" t="s">
        <v>1635</v>
      </c>
      <c r="D178" s="1" t="s">
        <v>1938</v>
      </c>
      <c r="E178" t="s">
        <v>1704</v>
      </c>
      <c r="F178" s="1" t="s">
        <v>1706</v>
      </c>
      <c r="G178" s="10">
        <v>59140.84</v>
      </c>
      <c r="H178" s="10">
        <v>11795</v>
      </c>
      <c r="I178" s="10" t="s">
        <v>1809</v>
      </c>
      <c r="J178" s="10">
        <v>98064.34</v>
      </c>
      <c r="K178" t="s">
        <v>1810</v>
      </c>
      <c r="L178" t="s">
        <v>1095</v>
      </c>
      <c r="M178" t="s">
        <v>1863</v>
      </c>
      <c r="N178" t="s">
        <v>1811</v>
      </c>
    </row>
    <row r="179" spans="1:14" x14ac:dyDescent="0.25">
      <c r="A179" s="1" t="s">
        <v>1808</v>
      </c>
      <c r="B179" s="8">
        <v>0.56527777777777777</v>
      </c>
      <c r="C179" t="s">
        <v>1635</v>
      </c>
      <c r="D179" s="1" t="s">
        <v>1938</v>
      </c>
      <c r="E179" t="s">
        <v>1704</v>
      </c>
      <c r="F179" s="1" t="s">
        <v>1707</v>
      </c>
      <c r="G179" s="10">
        <v>48359.06</v>
      </c>
      <c r="H179" s="10">
        <v>6959</v>
      </c>
      <c r="I179" s="10" t="s">
        <v>1809</v>
      </c>
      <c r="J179" s="10">
        <v>71323.759999999995</v>
      </c>
      <c r="K179" t="s">
        <v>1810</v>
      </c>
      <c r="L179" t="s">
        <v>1095</v>
      </c>
      <c r="M179" t="s">
        <v>1863</v>
      </c>
      <c r="N179" t="s">
        <v>1811</v>
      </c>
    </row>
    <row r="180" spans="1:14" x14ac:dyDescent="0.25">
      <c r="A180" s="1" t="s">
        <v>1808</v>
      </c>
      <c r="B180" s="8">
        <v>0.56527777777777777</v>
      </c>
      <c r="C180" t="s">
        <v>1635</v>
      </c>
      <c r="D180" s="1" t="s">
        <v>1938</v>
      </c>
      <c r="E180" t="s">
        <v>1704</v>
      </c>
      <c r="F180" s="1" t="s">
        <v>1708</v>
      </c>
      <c r="G180" s="10">
        <v>4332.5600000000004</v>
      </c>
      <c r="H180" s="10">
        <v>832</v>
      </c>
      <c r="I180" s="10" t="s">
        <v>1809</v>
      </c>
      <c r="J180" s="10">
        <v>7078.16</v>
      </c>
      <c r="K180" t="s">
        <v>1810</v>
      </c>
      <c r="L180" t="s">
        <v>1095</v>
      </c>
      <c r="M180" t="s">
        <v>1863</v>
      </c>
      <c r="N180" t="s">
        <v>1811</v>
      </c>
    </row>
    <row r="181" spans="1:14" x14ac:dyDescent="0.25">
      <c r="A181" s="1" t="s">
        <v>1808</v>
      </c>
      <c r="B181" s="8">
        <v>0.56597222222222221</v>
      </c>
      <c r="C181" t="s">
        <v>1635</v>
      </c>
      <c r="D181" s="1" t="s">
        <v>1938</v>
      </c>
      <c r="E181" t="s">
        <v>1704</v>
      </c>
      <c r="F181" s="1" t="s">
        <v>1709</v>
      </c>
      <c r="G181" s="10">
        <v>51089.440000000002</v>
      </c>
      <c r="H181" s="10">
        <v>7792</v>
      </c>
      <c r="I181" s="10" t="s">
        <v>1809</v>
      </c>
      <c r="J181" s="10">
        <v>76803.040000000008</v>
      </c>
      <c r="K181" t="s">
        <v>1810</v>
      </c>
      <c r="L181" t="s">
        <v>1095</v>
      </c>
      <c r="M181" t="s">
        <v>1863</v>
      </c>
      <c r="N181" t="s">
        <v>1811</v>
      </c>
    </row>
    <row r="182" spans="1:14" x14ac:dyDescent="0.25">
      <c r="A182" s="1" t="s">
        <v>1808</v>
      </c>
      <c r="B182" s="8">
        <v>0.56597222222222221</v>
      </c>
      <c r="C182" t="s">
        <v>1635</v>
      </c>
      <c r="D182" s="1" t="s">
        <v>1939</v>
      </c>
      <c r="E182" t="s">
        <v>1710</v>
      </c>
      <c r="F182" s="1" t="s">
        <v>1711</v>
      </c>
      <c r="G182" s="10">
        <v>84121.88</v>
      </c>
      <c r="H182" s="10">
        <v>11147</v>
      </c>
      <c r="I182" s="10" t="s">
        <v>1809</v>
      </c>
      <c r="J182" s="10">
        <v>120906.98000000001</v>
      </c>
      <c r="K182" t="s">
        <v>1810</v>
      </c>
      <c r="L182" t="s">
        <v>1806</v>
      </c>
      <c r="M182" t="s">
        <v>1864</v>
      </c>
      <c r="N182" t="s">
        <v>1811</v>
      </c>
    </row>
    <row r="183" spans="1:14" x14ac:dyDescent="0.25">
      <c r="A183" s="1" t="s">
        <v>1808</v>
      </c>
      <c r="B183" s="8">
        <v>0.56597222222222221</v>
      </c>
      <c r="C183" t="s">
        <v>1635</v>
      </c>
      <c r="D183" s="1" t="s">
        <v>1939</v>
      </c>
      <c r="E183" t="s">
        <v>1710</v>
      </c>
      <c r="F183" s="1" t="s">
        <v>1712</v>
      </c>
      <c r="G183" s="10">
        <v>72753.97</v>
      </c>
      <c r="H183" s="10">
        <v>13698</v>
      </c>
      <c r="I183" s="10" t="s">
        <v>1809</v>
      </c>
      <c r="J183" s="10">
        <v>117957.37</v>
      </c>
      <c r="K183" t="s">
        <v>1810</v>
      </c>
      <c r="L183" t="s">
        <v>1806</v>
      </c>
      <c r="M183" t="s">
        <v>1864</v>
      </c>
      <c r="N183" t="s">
        <v>1811</v>
      </c>
    </row>
    <row r="184" spans="1:14" x14ac:dyDescent="0.25">
      <c r="A184" s="1" t="s">
        <v>1808</v>
      </c>
      <c r="B184" s="8">
        <v>0.56597222222222221</v>
      </c>
      <c r="C184" t="s">
        <v>1635</v>
      </c>
      <c r="D184" s="1" t="s">
        <v>1940</v>
      </c>
      <c r="E184" t="s">
        <v>1713</v>
      </c>
      <c r="F184" s="1" t="s">
        <v>1714</v>
      </c>
      <c r="G184" s="10">
        <v>18105.09</v>
      </c>
      <c r="H184" s="10">
        <v>12178</v>
      </c>
      <c r="I184" s="10" t="s">
        <v>1809</v>
      </c>
      <c r="J184" s="10">
        <v>58292.490000000005</v>
      </c>
      <c r="K184" t="s">
        <v>1810</v>
      </c>
      <c r="L184" t="s">
        <v>814</v>
      </c>
      <c r="M184" t="s">
        <v>1865</v>
      </c>
      <c r="N184" t="s">
        <v>1811</v>
      </c>
    </row>
    <row r="185" spans="1:14" x14ac:dyDescent="0.25">
      <c r="A185" s="1" t="s">
        <v>1808</v>
      </c>
      <c r="B185" s="8">
        <v>0.56597222222222221</v>
      </c>
      <c r="C185" t="s">
        <v>1635</v>
      </c>
      <c r="D185" s="1" t="s">
        <v>1940</v>
      </c>
      <c r="E185" t="s">
        <v>1713</v>
      </c>
      <c r="F185" s="1" t="s">
        <v>1715</v>
      </c>
      <c r="G185" s="10">
        <v>42223.45</v>
      </c>
      <c r="H185" s="10">
        <v>14544</v>
      </c>
      <c r="I185" s="10" t="s">
        <v>1809</v>
      </c>
      <c r="J185" s="10">
        <v>90218.65</v>
      </c>
      <c r="K185" t="s">
        <v>1810</v>
      </c>
      <c r="L185" t="s">
        <v>814</v>
      </c>
      <c r="M185" t="s">
        <v>1865</v>
      </c>
      <c r="N185" t="s">
        <v>1811</v>
      </c>
    </row>
    <row r="186" spans="1:14" x14ac:dyDescent="0.25">
      <c r="A186" s="1" t="s">
        <v>1808</v>
      </c>
      <c r="B186" s="8">
        <v>0.56597222222222221</v>
      </c>
      <c r="C186" t="s">
        <v>1635</v>
      </c>
      <c r="D186" s="1" t="s">
        <v>1940</v>
      </c>
      <c r="E186" t="s">
        <v>1713</v>
      </c>
      <c r="F186" s="1" t="s">
        <v>1716</v>
      </c>
      <c r="G186" s="10">
        <v>97549.39</v>
      </c>
      <c r="H186" s="10">
        <v>6965</v>
      </c>
      <c r="I186" s="10" t="s">
        <v>1809</v>
      </c>
      <c r="J186" s="10">
        <v>120533.89</v>
      </c>
      <c r="K186" t="s">
        <v>1810</v>
      </c>
      <c r="L186" t="s">
        <v>814</v>
      </c>
      <c r="M186" t="s">
        <v>1865</v>
      </c>
      <c r="N186" t="s">
        <v>1811</v>
      </c>
    </row>
    <row r="187" spans="1:14" x14ac:dyDescent="0.25">
      <c r="A187" s="1" t="s">
        <v>1808</v>
      </c>
      <c r="B187" s="8">
        <v>0.56597222222222221</v>
      </c>
      <c r="C187" t="s">
        <v>1635</v>
      </c>
      <c r="D187" s="1" t="s">
        <v>1941</v>
      </c>
      <c r="E187" t="s">
        <v>1717</v>
      </c>
      <c r="F187" s="1" t="s">
        <v>1718</v>
      </c>
      <c r="G187" s="10">
        <v>44942.720000000001</v>
      </c>
      <c r="H187" s="10">
        <v>2277</v>
      </c>
      <c r="I187" s="10" t="s">
        <v>1809</v>
      </c>
      <c r="J187" s="10">
        <v>52456.82</v>
      </c>
      <c r="K187" t="s">
        <v>1810</v>
      </c>
      <c r="L187" t="s">
        <v>195</v>
      </c>
      <c r="M187" t="s">
        <v>1866</v>
      </c>
      <c r="N187" t="s">
        <v>1811</v>
      </c>
    </row>
    <row r="188" spans="1:14" x14ac:dyDescent="0.25">
      <c r="A188" s="1" t="s">
        <v>1808</v>
      </c>
      <c r="B188" s="8">
        <v>0.56666666666666665</v>
      </c>
      <c r="C188" t="s">
        <v>1635</v>
      </c>
      <c r="D188" s="1" t="s">
        <v>1942</v>
      </c>
      <c r="E188" t="s">
        <v>1719</v>
      </c>
      <c r="F188" s="1" t="s">
        <v>1720</v>
      </c>
      <c r="G188" s="10">
        <v>12585.77</v>
      </c>
      <c r="H188" s="10">
        <v>2110</v>
      </c>
      <c r="I188" s="10" t="s">
        <v>1809</v>
      </c>
      <c r="J188" s="10">
        <v>19548.77</v>
      </c>
      <c r="K188" t="s">
        <v>1810</v>
      </c>
      <c r="L188" t="s">
        <v>1300</v>
      </c>
      <c r="M188" t="s">
        <v>1867</v>
      </c>
      <c r="N188" t="s">
        <v>1811</v>
      </c>
    </row>
    <row r="189" spans="1:14" x14ac:dyDescent="0.25">
      <c r="A189" s="1" t="s">
        <v>1808</v>
      </c>
      <c r="B189" s="8">
        <v>0.56666666666666665</v>
      </c>
      <c r="C189" t="s">
        <v>1635</v>
      </c>
      <c r="D189" s="1" t="s">
        <v>1942</v>
      </c>
      <c r="E189" t="s">
        <v>1719</v>
      </c>
      <c r="F189" s="1" t="s">
        <v>1721</v>
      </c>
      <c r="G189" s="10">
        <v>16754.66</v>
      </c>
      <c r="H189" s="10">
        <v>6015</v>
      </c>
      <c r="I189" s="10" t="s">
        <v>1809</v>
      </c>
      <c r="J189" s="10">
        <v>36604.160000000003</v>
      </c>
      <c r="K189" t="s">
        <v>1810</v>
      </c>
      <c r="L189" t="s">
        <v>1300</v>
      </c>
      <c r="M189" t="s">
        <v>1867</v>
      </c>
      <c r="N189" t="s">
        <v>1811</v>
      </c>
    </row>
    <row r="190" spans="1:14" x14ac:dyDescent="0.25">
      <c r="A190" s="1" t="s">
        <v>1808</v>
      </c>
      <c r="B190" s="8">
        <v>0.56666666666666665</v>
      </c>
      <c r="C190" t="s">
        <v>1635</v>
      </c>
      <c r="D190" s="1" t="s">
        <v>1942</v>
      </c>
      <c r="E190" t="s">
        <v>1719</v>
      </c>
      <c r="F190" s="1" t="s">
        <v>1722</v>
      </c>
      <c r="G190" s="10">
        <v>21124.2</v>
      </c>
      <c r="H190" s="10">
        <v>1694</v>
      </c>
      <c r="I190" s="10" t="s">
        <v>1809</v>
      </c>
      <c r="J190" s="10">
        <v>26714.400000000001</v>
      </c>
      <c r="K190" t="s">
        <v>1810</v>
      </c>
      <c r="L190" t="s">
        <v>1300</v>
      </c>
      <c r="M190" t="s">
        <v>1867</v>
      </c>
      <c r="N190" t="s">
        <v>1811</v>
      </c>
    </row>
    <row r="191" spans="1:14" x14ac:dyDescent="0.25">
      <c r="A191" s="1" t="s">
        <v>1808</v>
      </c>
      <c r="B191" s="8">
        <v>0.56666666666666665</v>
      </c>
      <c r="C191" t="s">
        <v>1635</v>
      </c>
      <c r="D191" s="1" t="s">
        <v>1943</v>
      </c>
      <c r="E191" t="s">
        <v>1723</v>
      </c>
      <c r="F191" s="1" t="s">
        <v>1724</v>
      </c>
      <c r="G191" s="10">
        <v>67366.05</v>
      </c>
      <c r="H191" s="10">
        <v>14766</v>
      </c>
      <c r="I191" s="10" t="s">
        <v>1809</v>
      </c>
      <c r="J191" s="10">
        <v>116093.85</v>
      </c>
      <c r="K191" t="s">
        <v>1810</v>
      </c>
      <c r="L191" t="s">
        <v>1272</v>
      </c>
      <c r="M191" t="s">
        <v>1868</v>
      </c>
      <c r="N191" t="s">
        <v>1811</v>
      </c>
    </row>
    <row r="192" spans="1:14" x14ac:dyDescent="0.25">
      <c r="A192" s="1" t="s">
        <v>1808</v>
      </c>
      <c r="B192" s="8">
        <v>0.56666666666666665</v>
      </c>
      <c r="C192" t="s">
        <v>1635</v>
      </c>
      <c r="D192" s="1" t="s">
        <v>1943</v>
      </c>
      <c r="E192" t="s">
        <v>1723</v>
      </c>
      <c r="F192" s="1" t="s">
        <v>1725</v>
      </c>
      <c r="G192" s="10">
        <v>40013.9</v>
      </c>
      <c r="H192" s="10">
        <v>11547</v>
      </c>
      <c r="I192" s="10" t="s">
        <v>1809</v>
      </c>
      <c r="J192" s="10">
        <v>78119</v>
      </c>
      <c r="K192" t="s">
        <v>1810</v>
      </c>
      <c r="L192" t="s">
        <v>1272</v>
      </c>
      <c r="M192" t="s">
        <v>1868</v>
      </c>
      <c r="N192" t="s">
        <v>1811</v>
      </c>
    </row>
    <row r="193" spans="1:14" x14ac:dyDescent="0.25">
      <c r="A193" s="1" t="s">
        <v>1808</v>
      </c>
      <c r="B193" s="8">
        <v>0.56666666666666665</v>
      </c>
      <c r="C193" t="s">
        <v>1635</v>
      </c>
      <c r="D193" s="1" t="s">
        <v>1943</v>
      </c>
      <c r="E193" t="s">
        <v>1723</v>
      </c>
      <c r="F193" s="1" t="s">
        <v>1726</v>
      </c>
      <c r="G193" s="10">
        <v>37054.26</v>
      </c>
      <c r="H193" s="10">
        <v>23952</v>
      </c>
      <c r="I193" s="10" t="s">
        <v>1809</v>
      </c>
      <c r="J193" s="10">
        <v>116095.85999999999</v>
      </c>
      <c r="K193" t="s">
        <v>1810</v>
      </c>
      <c r="L193" t="s">
        <v>1272</v>
      </c>
      <c r="M193" t="s">
        <v>1868</v>
      </c>
      <c r="N193" t="s">
        <v>1811</v>
      </c>
    </row>
    <row r="194" spans="1:14" x14ac:dyDescent="0.25">
      <c r="A194" s="1" t="s">
        <v>1808</v>
      </c>
      <c r="B194" s="8">
        <v>0.56666666666666665</v>
      </c>
      <c r="C194" t="s">
        <v>1635</v>
      </c>
      <c r="D194" s="1" t="s">
        <v>1943</v>
      </c>
      <c r="E194" t="s">
        <v>1723</v>
      </c>
      <c r="F194" s="1" t="s">
        <v>1727</v>
      </c>
      <c r="G194" s="10">
        <v>49839.81</v>
      </c>
      <c r="H194" s="10">
        <v>-7</v>
      </c>
      <c r="I194" s="10" t="s">
        <v>1809</v>
      </c>
      <c r="J194" s="10">
        <v>49816.71</v>
      </c>
      <c r="K194" t="s">
        <v>1812</v>
      </c>
      <c r="L194" t="s">
        <v>1272</v>
      </c>
      <c r="M194" t="s">
        <v>1868</v>
      </c>
      <c r="N194" t="s">
        <v>1811</v>
      </c>
    </row>
    <row r="195" spans="1:14" x14ac:dyDescent="0.25">
      <c r="A195" s="1" t="s">
        <v>1808</v>
      </c>
      <c r="B195" s="8">
        <v>0.56666666666666665</v>
      </c>
      <c r="C195" t="s">
        <v>1728</v>
      </c>
      <c r="D195" s="1" t="s">
        <v>1944</v>
      </c>
      <c r="E195" t="s">
        <v>1729</v>
      </c>
      <c r="F195" s="1" t="s">
        <v>1730</v>
      </c>
      <c r="G195" s="10">
        <v>39297.46</v>
      </c>
      <c r="H195" s="10">
        <v>21312</v>
      </c>
      <c r="I195" s="10" t="s">
        <v>1809</v>
      </c>
      <c r="J195" s="10">
        <v>109627.06</v>
      </c>
      <c r="K195" t="s">
        <v>1810</v>
      </c>
      <c r="L195" t="s">
        <v>939</v>
      </c>
      <c r="M195" t="s">
        <v>1869</v>
      </c>
      <c r="N195" t="s">
        <v>1811</v>
      </c>
    </row>
    <row r="196" spans="1:14" x14ac:dyDescent="0.25">
      <c r="A196" s="1" t="s">
        <v>1808</v>
      </c>
      <c r="B196" s="8">
        <v>0.56666666666666665</v>
      </c>
      <c r="C196" t="s">
        <v>1728</v>
      </c>
      <c r="D196" s="1" t="s">
        <v>1944</v>
      </c>
      <c r="E196" t="s">
        <v>1729</v>
      </c>
      <c r="F196" s="1" t="s">
        <v>1731</v>
      </c>
      <c r="G196" s="10">
        <v>6194.29</v>
      </c>
      <c r="H196" s="10">
        <v>17840</v>
      </c>
      <c r="I196" s="10" t="s">
        <v>1809</v>
      </c>
      <c r="J196" s="10">
        <v>65066.29</v>
      </c>
      <c r="K196" t="s">
        <v>1810</v>
      </c>
      <c r="L196" t="s">
        <v>939</v>
      </c>
      <c r="M196" t="s">
        <v>1869</v>
      </c>
      <c r="N196" t="s">
        <v>1811</v>
      </c>
    </row>
    <row r="197" spans="1:14" x14ac:dyDescent="0.25">
      <c r="A197" s="1" t="s">
        <v>1808</v>
      </c>
      <c r="B197" s="8">
        <v>0.56736111111111109</v>
      </c>
      <c r="C197" t="s">
        <v>1728</v>
      </c>
      <c r="D197" s="1" t="s">
        <v>1945</v>
      </c>
      <c r="E197" t="s">
        <v>1732</v>
      </c>
      <c r="F197" s="1" t="s">
        <v>1733</v>
      </c>
      <c r="G197" s="10">
        <v>14958.2</v>
      </c>
      <c r="H197" s="10">
        <v>2316</v>
      </c>
      <c r="I197" s="10" t="s">
        <v>1809</v>
      </c>
      <c r="J197" s="10">
        <v>22601</v>
      </c>
      <c r="K197" t="s">
        <v>1810</v>
      </c>
      <c r="L197" t="s">
        <v>660</v>
      </c>
      <c r="M197" t="s">
        <v>1870</v>
      </c>
      <c r="N197" t="s">
        <v>1811</v>
      </c>
    </row>
    <row r="198" spans="1:14" x14ac:dyDescent="0.25">
      <c r="A198" s="1" t="s">
        <v>1808</v>
      </c>
      <c r="B198" s="8">
        <v>0.56736111111111109</v>
      </c>
      <c r="C198" t="s">
        <v>1728</v>
      </c>
      <c r="D198" s="1" t="s">
        <v>1945</v>
      </c>
      <c r="E198" t="s">
        <v>1732</v>
      </c>
      <c r="F198" s="1" t="s">
        <v>1734</v>
      </c>
      <c r="G198" s="10">
        <v>10800.6</v>
      </c>
      <c r="H198" s="10">
        <v>2549</v>
      </c>
      <c r="I198" s="10" t="s">
        <v>1809</v>
      </c>
      <c r="J198" s="10">
        <v>19212.3</v>
      </c>
      <c r="K198" t="s">
        <v>1810</v>
      </c>
      <c r="L198" t="s">
        <v>660</v>
      </c>
      <c r="M198" t="s">
        <v>1870</v>
      </c>
      <c r="N198" t="s">
        <v>1811</v>
      </c>
    </row>
    <row r="199" spans="1:14" x14ac:dyDescent="0.25">
      <c r="A199" s="1" t="s">
        <v>1808</v>
      </c>
      <c r="B199" s="8">
        <v>0.56736111111111109</v>
      </c>
      <c r="C199" t="s">
        <v>1728</v>
      </c>
      <c r="D199" s="1" t="s">
        <v>1946</v>
      </c>
      <c r="E199" t="s">
        <v>1735</v>
      </c>
      <c r="F199" s="1" t="s">
        <v>1736</v>
      </c>
      <c r="G199" s="10">
        <v>28387.81</v>
      </c>
      <c r="H199" s="10">
        <v>2528</v>
      </c>
      <c r="I199" s="10" t="s">
        <v>1809</v>
      </c>
      <c r="J199" s="10">
        <v>36730.21</v>
      </c>
      <c r="K199" t="s">
        <v>1810</v>
      </c>
      <c r="L199" t="s">
        <v>129</v>
      </c>
      <c r="M199" t="s">
        <v>1871</v>
      </c>
      <c r="N199" t="s">
        <v>1811</v>
      </c>
    </row>
    <row r="200" spans="1:14" x14ac:dyDescent="0.25">
      <c r="A200" s="1" t="s">
        <v>1808</v>
      </c>
      <c r="B200" s="8">
        <v>0.56736111111111109</v>
      </c>
      <c r="C200" t="s">
        <v>1728</v>
      </c>
      <c r="D200" s="1" t="s">
        <v>1946</v>
      </c>
      <c r="E200" t="s">
        <v>1735</v>
      </c>
      <c r="F200" s="1" t="s">
        <v>1737</v>
      </c>
      <c r="G200" s="10">
        <v>88135.38</v>
      </c>
      <c r="H200" s="10">
        <v>2128</v>
      </c>
      <c r="I200" s="10" t="s">
        <v>1809</v>
      </c>
      <c r="J200" s="10">
        <v>95157.78</v>
      </c>
      <c r="K200" t="s">
        <v>1810</v>
      </c>
      <c r="L200" t="s">
        <v>129</v>
      </c>
      <c r="M200" t="s">
        <v>1871</v>
      </c>
      <c r="N200" t="s">
        <v>1811</v>
      </c>
    </row>
    <row r="201" spans="1:14" x14ac:dyDescent="0.25">
      <c r="A201" s="1" t="s">
        <v>1808</v>
      </c>
      <c r="B201" s="8">
        <v>0.56736111111111109</v>
      </c>
      <c r="C201" t="s">
        <v>1728</v>
      </c>
      <c r="D201" s="1" t="s">
        <v>1946</v>
      </c>
      <c r="E201" t="s">
        <v>1735</v>
      </c>
      <c r="F201" s="1" t="s">
        <v>1738</v>
      </c>
      <c r="G201" s="10">
        <v>28934.83</v>
      </c>
      <c r="H201" s="10">
        <v>5061</v>
      </c>
      <c r="I201" s="10" t="s">
        <v>1809</v>
      </c>
      <c r="J201" s="10">
        <v>45636.130000000005</v>
      </c>
      <c r="K201" t="s">
        <v>1810</v>
      </c>
      <c r="L201" t="s">
        <v>129</v>
      </c>
      <c r="M201" t="s">
        <v>1871</v>
      </c>
      <c r="N201" t="s">
        <v>1811</v>
      </c>
    </row>
    <row r="202" spans="1:14" x14ac:dyDescent="0.25">
      <c r="A202" s="1" t="s">
        <v>1808</v>
      </c>
      <c r="B202" s="8">
        <v>0.56736111111111109</v>
      </c>
      <c r="C202" t="s">
        <v>1728</v>
      </c>
      <c r="D202" s="1" t="s">
        <v>1947</v>
      </c>
      <c r="E202" t="s">
        <v>1739</v>
      </c>
      <c r="F202" s="1" t="s">
        <v>1740</v>
      </c>
      <c r="G202" s="10">
        <v>30957.14</v>
      </c>
      <c r="H202" s="10">
        <v>4909</v>
      </c>
      <c r="I202" s="10">
        <v>5205</v>
      </c>
      <c r="J202" s="10">
        <v>67456.34</v>
      </c>
      <c r="K202" t="s">
        <v>1810</v>
      </c>
      <c r="L202" t="s">
        <v>592</v>
      </c>
      <c r="M202" t="s">
        <v>1872</v>
      </c>
      <c r="N202" t="s">
        <v>1811</v>
      </c>
    </row>
    <row r="203" spans="1:14" x14ac:dyDescent="0.25">
      <c r="A203" s="1" t="s">
        <v>1808</v>
      </c>
      <c r="B203" s="8">
        <v>0.56736111111111109</v>
      </c>
      <c r="C203" t="s">
        <v>1728</v>
      </c>
      <c r="D203" s="1" t="s">
        <v>1947</v>
      </c>
      <c r="E203" t="s">
        <v>1739</v>
      </c>
      <c r="F203" s="1" t="s">
        <v>1741</v>
      </c>
      <c r="G203" s="10">
        <v>18553.89</v>
      </c>
      <c r="H203" s="10">
        <v>9155</v>
      </c>
      <c r="I203" s="10">
        <v>1180</v>
      </c>
      <c r="J203" s="10">
        <v>53367.39</v>
      </c>
      <c r="K203" t="s">
        <v>1810</v>
      </c>
      <c r="L203" t="s">
        <v>592</v>
      </c>
      <c r="M203" t="s">
        <v>1872</v>
      </c>
      <c r="N203" t="s">
        <v>1811</v>
      </c>
    </row>
    <row r="204" spans="1:14" x14ac:dyDescent="0.25">
      <c r="A204" s="1" t="s">
        <v>1808</v>
      </c>
      <c r="B204" s="8">
        <v>0.56805555555555554</v>
      </c>
      <c r="C204" t="s">
        <v>1728</v>
      </c>
      <c r="D204" s="1" t="s">
        <v>1947</v>
      </c>
      <c r="E204" t="s">
        <v>1739</v>
      </c>
      <c r="F204" s="1" t="s">
        <v>1742</v>
      </c>
      <c r="G204" s="10">
        <v>42202.02</v>
      </c>
      <c r="H204" s="10">
        <v>1050</v>
      </c>
      <c r="I204" s="10">
        <v>9605</v>
      </c>
      <c r="J204" s="10">
        <v>83126.51999999999</v>
      </c>
      <c r="K204" t="s">
        <v>1810</v>
      </c>
      <c r="L204" t="s">
        <v>592</v>
      </c>
      <c r="M204" t="s">
        <v>1872</v>
      </c>
      <c r="N204" t="s">
        <v>1811</v>
      </c>
    </row>
    <row r="205" spans="1:14" x14ac:dyDescent="0.25">
      <c r="A205" s="1" t="s">
        <v>1808</v>
      </c>
      <c r="B205" s="8">
        <v>0.56805555555555554</v>
      </c>
      <c r="C205" t="s">
        <v>1728</v>
      </c>
      <c r="D205" s="1" t="s">
        <v>1947</v>
      </c>
      <c r="E205" t="s">
        <v>1739</v>
      </c>
      <c r="F205" s="1" t="s">
        <v>1743</v>
      </c>
      <c r="G205" s="10">
        <v>47366.17</v>
      </c>
      <c r="H205" s="10">
        <v>9474</v>
      </c>
      <c r="I205" s="10">
        <v>7695</v>
      </c>
      <c r="J205" s="10">
        <v>108640.87</v>
      </c>
      <c r="K205" t="s">
        <v>1810</v>
      </c>
      <c r="L205" t="s">
        <v>592</v>
      </c>
      <c r="M205" t="s">
        <v>1872</v>
      </c>
      <c r="N205" t="s">
        <v>1811</v>
      </c>
    </row>
    <row r="206" spans="1:14" x14ac:dyDescent="0.25">
      <c r="A206" s="1" t="s">
        <v>1808</v>
      </c>
      <c r="B206" s="8">
        <v>0.56805555555555554</v>
      </c>
      <c r="C206" t="s">
        <v>1728</v>
      </c>
      <c r="D206" s="1" t="s">
        <v>1947</v>
      </c>
      <c r="E206" t="s">
        <v>1739</v>
      </c>
      <c r="F206" s="1" t="s">
        <v>1744</v>
      </c>
      <c r="G206" s="10">
        <v>36416.559999999998</v>
      </c>
      <c r="H206" s="10">
        <v>1057</v>
      </c>
      <c r="I206" s="10">
        <v>4215</v>
      </c>
      <c r="J206" s="10">
        <v>56343.159999999996</v>
      </c>
      <c r="K206" t="s">
        <v>1810</v>
      </c>
      <c r="L206" t="s">
        <v>592</v>
      </c>
      <c r="M206" t="s">
        <v>1872</v>
      </c>
      <c r="N206" t="s">
        <v>1811</v>
      </c>
    </row>
    <row r="207" spans="1:14" x14ac:dyDescent="0.25">
      <c r="A207" s="1" t="s">
        <v>1808</v>
      </c>
      <c r="B207" s="8">
        <v>0.56805555555555554</v>
      </c>
      <c r="C207" t="s">
        <v>1728</v>
      </c>
      <c r="D207" s="1" t="s">
        <v>1948</v>
      </c>
      <c r="E207" t="s">
        <v>1745</v>
      </c>
      <c r="F207" s="1">
        <v>4821</v>
      </c>
      <c r="G207" s="10">
        <v>26937.49</v>
      </c>
      <c r="H207" s="10">
        <v>2264</v>
      </c>
      <c r="I207" s="10" t="s">
        <v>1809</v>
      </c>
      <c r="J207" s="10">
        <v>34408.69</v>
      </c>
      <c r="K207" t="s">
        <v>1810</v>
      </c>
      <c r="L207" t="s">
        <v>640</v>
      </c>
      <c r="M207" t="s">
        <v>1873</v>
      </c>
      <c r="N207" t="s">
        <v>1811</v>
      </c>
    </row>
    <row r="208" spans="1:14" x14ac:dyDescent="0.25">
      <c r="A208" s="1" t="s">
        <v>1808</v>
      </c>
      <c r="B208" s="8">
        <v>0.56805555555555554</v>
      </c>
      <c r="C208" t="s">
        <v>1728</v>
      </c>
      <c r="D208" s="1" t="s">
        <v>1948</v>
      </c>
      <c r="E208" t="s">
        <v>1745</v>
      </c>
      <c r="F208" s="1">
        <v>4822</v>
      </c>
      <c r="G208" s="10">
        <v>9798.39</v>
      </c>
      <c r="H208" s="10">
        <v>18361</v>
      </c>
      <c r="I208" s="10" t="s">
        <v>1809</v>
      </c>
      <c r="J208" s="10">
        <v>70389.69</v>
      </c>
      <c r="K208" t="s">
        <v>1810</v>
      </c>
      <c r="L208" t="s">
        <v>640</v>
      </c>
      <c r="M208" t="s">
        <v>1873</v>
      </c>
      <c r="N208" t="s">
        <v>1811</v>
      </c>
    </row>
    <row r="209" spans="1:14" x14ac:dyDescent="0.25">
      <c r="A209" s="1" t="s">
        <v>1808</v>
      </c>
      <c r="B209" s="8">
        <v>0.56805555555555554</v>
      </c>
      <c r="C209" t="s">
        <v>1728</v>
      </c>
      <c r="D209" s="1" t="s">
        <v>1948</v>
      </c>
      <c r="E209" t="s">
        <v>1745</v>
      </c>
      <c r="F209" s="1">
        <v>4823</v>
      </c>
      <c r="G209" s="10">
        <v>41097.879999999997</v>
      </c>
      <c r="H209" s="10">
        <v>16405</v>
      </c>
      <c r="I209" s="10" t="s">
        <v>1809</v>
      </c>
      <c r="J209" s="10">
        <v>95234.38</v>
      </c>
      <c r="K209" t="s">
        <v>1810</v>
      </c>
      <c r="L209" t="s">
        <v>640</v>
      </c>
      <c r="M209" t="s">
        <v>1873</v>
      </c>
      <c r="N209" t="s">
        <v>1811</v>
      </c>
    </row>
    <row r="210" spans="1:14" x14ac:dyDescent="0.25">
      <c r="A210" s="1" t="s">
        <v>1808</v>
      </c>
      <c r="B210" s="8">
        <v>0.56805555555555554</v>
      </c>
      <c r="C210" t="s">
        <v>1728</v>
      </c>
      <c r="D210" s="1" t="s">
        <v>1948</v>
      </c>
      <c r="E210" t="s">
        <v>1745</v>
      </c>
      <c r="F210" s="1">
        <v>4824</v>
      </c>
      <c r="G210" s="10">
        <v>32765.81</v>
      </c>
      <c r="H210" s="10">
        <v>962</v>
      </c>
      <c r="I210" s="10" t="s">
        <v>1809</v>
      </c>
      <c r="J210" s="10">
        <v>35940.410000000003</v>
      </c>
      <c r="K210" t="s">
        <v>1810</v>
      </c>
      <c r="L210" t="s">
        <v>640</v>
      </c>
      <c r="M210" t="s">
        <v>1873</v>
      </c>
      <c r="N210" t="s">
        <v>1811</v>
      </c>
    </row>
    <row r="211" spans="1:14" x14ac:dyDescent="0.25">
      <c r="A211" s="1" t="s">
        <v>1808</v>
      </c>
      <c r="B211" s="8">
        <v>0.56805555555555554</v>
      </c>
      <c r="C211" t="s">
        <v>1728</v>
      </c>
      <c r="D211" s="1" t="s">
        <v>1949</v>
      </c>
      <c r="E211" t="s">
        <v>1746</v>
      </c>
      <c r="F211" s="1">
        <v>5622</v>
      </c>
      <c r="G211" s="10">
        <v>58711.78</v>
      </c>
      <c r="H211" s="10">
        <v>9380</v>
      </c>
      <c r="I211" s="10" t="s">
        <v>1809</v>
      </c>
      <c r="J211" s="10">
        <v>89665.78</v>
      </c>
      <c r="K211" t="s">
        <v>1810</v>
      </c>
      <c r="L211" t="s">
        <v>740</v>
      </c>
      <c r="M211" t="s">
        <v>1874</v>
      </c>
      <c r="N211" t="s">
        <v>1811</v>
      </c>
    </row>
    <row r="212" spans="1:14" x14ac:dyDescent="0.25">
      <c r="A212" s="1" t="s">
        <v>1808</v>
      </c>
      <c r="B212" s="8">
        <v>0.56874999999999998</v>
      </c>
      <c r="C212" t="s">
        <v>1728</v>
      </c>
      <c r="D212" s="1" t="s">
        <v>1949</v>
      </c>
      <c r="E212" t="s">
        <v>1746</v>
      </c>
      <c r="F212" s="1">
        <v>5623</v>
      </c>
      <c r="G212" s="10">
        <v>101036.37</v>
      </c>
      <c r="H212" s="10">
        <v>5993</v>
      </c>
      <c r="I212" s="10" t="s">
        <v>1809</v>
      </c>
      <c r="J212" s="10">
        <v>120813.26999999999</v>
      </c>
      <c r="K212" t="s">
        <v>1810</v>
      </c>
      <c r="L212" t="s">
        <v>740</v>
      </c>
      <c r="M212" t="s">
        <v>1874</v>
      </c>
      <c r="N212" t="s">
        <v>1811</v>
      </c>
    </row>
    <row r="213" spans="1:14" x14ac:dyDescent="0.25">
      <c r="A213" s="1" t="s">
        <v>1808</v>
      </c>
      <c r="B213" s="8">
        <v>0.56874999999999998</v>
      </c>
      <c r="C213" t="s">
        <v>1728</v>
      </c>
      <c r="D213" s="1" t="s">
        <v>1949</v>
      </c>
      <c r="E213" t="s">
        <v>1746</v>
      </c>
      <c r="F213" s="1">
        <v>5626</v>
      </c>
      <c r="G213" s="10">
        <v>22916.080000000002</v>
      </c>
      <c r="H213" s="10">
        <v>7704</v>
      </c>
      <c r="I213" s="10" t="s">
        <v>1809</v>
      </c>
      <c r="J213" s="10">
        <v>48339.28</v>
      </c>
      <c r="K213" t="s">
        <v>1810</v>
      </c>
      <c r="L213" t="s">
        <v>740</v>
      </c>
      <c r="M213" t="s">
        <v>1874</v>
      </c>
      <c r="N213" t="s">
        <v>1811</v>
      </c>
    </row>
    <row r="214" spans="1:14" x14ac:dyDescent="0.25">
      <c r="A214" s="1" t="s">
        <v>1808</v>
      </c>
      <c r="B214" s="8">
        <v>0.56874999999999998</v>
      </c>
      <c r="C214" t="s">
        <v>1728</v>
      </c>
      <c r="D214" s="1" t="s">
        <v>1950</v>
      </c>
      <c r="E214" t="s">
        <v>1747</v>
      </c>
      <c r="F214" s="1">
        <v>5921</v>
      </c>
      <c r="G214" s="10">
        <v>45445.91</v>
      </c>
      <c r="H214" s="10">
        <v>3785</v>
      </c>
      <c r="I214" s="10" t="s">
        <v>1809</v>
      </c>
      <c r="J214" s="10">
        <v>57936.41</v>
      </c>
      <c r="K214" t="s">
        <v>1810</v>
      </c>
      <c r="L214" t="s">
        <v>826</v>
      </c>
      <c r="M214" t="s">
        <v>1875</v>
      </c>
      <c r="N214" t="s">
        <v>1811</v>
      </c>
    </row>
    <row r="215" spans="1:14" x14ac:dyDescent="0.25">
      <c r="A215" s="1" t="s">
        <v>1808</v>
      </c>
      <c r="B215" s="8">
        <v>0.56874999999999998</v>
      </c>
      <c r="C215" t="s">
        <v>1728</v>
      </c>
      <c r="D215" s="1" t="s">
        <v>1950</v>
      </c>
      <c r="E215" t="s">
        <v>1747</v>
      </c>
      <c r="F215" s="1">
        <v>5922</v>
      </c>
      <c r="G215" s="10">
        <v>67215.429999999993</v>
      </c>
      <c r="H215" s="10">
        <v>14797</v>
      </c>
      <c r="I215" s="10" t="s">
        <v>1809</v>
      </c>
      <c r="J215" s="10">
        <v>116045.53</v>
      </c>
      <c r="K215" t="s">
        <v>1810</v>
      </c>
      <c r="L215" t="s">
        <v>826</v>
      </c>
      <c r="M215" t="s">
        <v>1875</v>
      </c>
      <c r="N215" t="s">
        <v>1811</v>
      </c>
    </row>
    <row r="216" spans="1:14" x14ac:dyDescent="0.25">
      <c r="A216" s="1" t="s">
        <v>1808</v>
      </c>
      <c r="B216" s="8">
        <v>0.56874999999999998</v>
      </c>
      <c r="C216" t="s">
        <v>1728</v>
      </c>
      <c r="D216" s="1" t="s">
        <v>1950</v>
      </c>
      <c r="E216" t="s">
        <v>1747</v>
      </c>
      <c r="F216" s="1">
        <v>5924</v>
      </c>
      <c r="G216" s="10">
        <v>49787.6</v>
      </c>
      <c r="H216" s="10">
        <v>14131</v>
      </c>
      <c r="I216" s="10" t="s">
        <v>1809</v>
      </c>
      <c r="J216" s="10">
        <v>96419.9</v>
      </c>
      <c r="K216" t="s">
        <v>1810</v>
      </c>
      <c r="L216" t="s">
        <v>826</v>
      </c>
      <c r="M216" t="s">
        <v>1875</v>
      </c>
      <c r="N216" t="s">
        <v>1811</v>
      </c>
    </row>
    <row r="217" spans="1:14" x14ac:dyDescent="0.25">
      <c r="A217" s="1" t="s">
        <v>1808</v>
      </c>
      <c r="B217" s="8">
        <v>0.56874999999999998</v>
      </c>
      <c r="C217" t="s">
        <v>1728</v>
      </c>
      <c r="D217" s="1" t="s">
        <v>1951</v>
      </c>
      <c r="E217" t="s">
        <v>1748</v>
      </c>
      <c r="F217" s="1" t="s">
        <v>1749</v>
      </c>
      <c r="G217" s="10">
        <v>14376.94</v>
      </c>
      <c r="H217" s="10">
        <v>15293</v>
      </c>
      <c r="I217" s="10" t="s">
        <v>1809</v>
      </c>
      <c r="J217" s="10">
        <v>64843.839999999997</v>
      </c>
      <c r="K217" t="s">
        <v>1810</v>
      </c>
      <c r="L217" t="s">
        <v>264</v>
      </c>
      <c r="M217" t="s">
        <v>1876</v>
      </c>
      <c r="N217" t="s">
        <v>1811</v>
      </c>
    </row>
    <row r="218" spans="1:14" x14ac:dyDescent="0.25">
      <c r="A218" s="1" t="s">
        <v>1808</v>
      </c>
      <c r="B218" s="8">
        <v>0.56874999999999998</v>
      </c>
      <c r="C218" t="s">
        <v>1728</v>
      </c>
      <c r="D218" s="1" t="s">
        <v>1951</v>
      </c>
      <c r="E218" t="s">
        <v>1748</v>
      </c>
      <c r="F218" s="1" t="s">
        <v>1750</v>
      </c>
      <c r="G218" s="10">
        <v>25363.9</v>
      </c>
      <c r="H218" s="10">
        <v>-4443</v>
      </c>
      <c r="I218" s="10" t="s">
        <v>1809</v>
      </c>
      <c r="J218" s="10">
        <v>10702.000000000002</v>
      </c>
      <c r="K218" t="s">
        <v>1812</v>
      </c>
      <c r="L218" t="s">
        <v>264</v>
      </c>
      <c r="M218" t="s">
        <v>1876</v>
      </c>
      <c r="N218" t="s">
        <v>1811</v>
      </c>
    </row>
    <row r="219" spans="1:14" x14ac:dyDescent="0.25">
      <c r="A219" s="1" t="s">
        <v>1808</v>
      </c>
      <c r="B219" s="8">
        <v>0.56874999999999998</v>
      </c>
      <c r="C219" t="s">
        <v>1728</v>
      </c>
      <c r="D219" s="1" t="s">
        <v>1951</v>
      </c>
      <c r="E219" t="s">
        <v>1748</v>
      </c>
      <c r="F219" s="1" t="s">
        <v>1751</v>
      </c>
      <c r="G219" s="10">
        <v>33004.85</v>
      </c>
      <c r="H219" s="10">
        <v>11994</v>
      </c>
      <c r="I219" s="10" t="s">
        <v>1809</v>
      </c>
      <c r="J219" s="10">
        <v>72585.049999999988</v>
      </c>
      <c r="K219" t="s">
        <v>1810</v>
      </c>
      <c r="L219" t="s">
        <v>264</v>
      </c>
      <c r="M219" t="s">
        <v>1876</v>
      </c>
      <c r="N219" t="s">
        <v>1811</v>
      </c>
    </row>
    <row r="220" spans="1:14" x14ac:dyDescent="0.25">
      <c r="A220" s="1" t="s">
        <v>1808</v>
      </c>
      <c r="B220" s="8">
        <v>0.56874999999999998</v>
      </c>
      <c r="C220" t="s">
        <v>1728</v>
      </c>
      <c r="D220" s="1" t="s">
        <v>1952</v>
      </c>
      <c r="E220" t="s">
        <v>1752</v>
      </c>
      <c r="F220" s="1" t="s">
        <v>1753</v>
      </c>
      <c r="G220" s="10">
        <v>42256.45</v>
      </c>
      <c r="H220" s="10">
        <v>2512</v>
      </c>
      <c r="I220" s="10" t="s">
        <v>1809</v>
      </c>
      <c r="J220" s="10">
        <v>50546.049999999996</v>
      </c>
      <c r="K220" t="s">
        <v>1810</v>
      </c>
      <c r="L220" t="s">
        <v>105</v>
      </c>
      <c r="M220" t="s">
        <v>1877</v>
      </c>
      <c r="N220" t="s">
        <v>1811</v>
      </c>
    </row>
    <row r="221" spans="1:14" x14ac:dyDescent="0.25">
      <c r="A221" s="1" t="s">
        <v>1808</v>
      </c>
      <c r="B221" s="8">
        <v>0.56944444444444442</v>
      </c>
      <c r="C221" t="s">
        <v>1728</v>
      </c>
      <c r="D221" s="1" t="s">
        <v>1952</v>
      </c>
      <c r="E221" t="s">
        <v>1752</v>
      </c>
      <c r="F221" s="1" t="s">
        <v>1754</v>
      </c>
      <c r="G221" s="10">
        <v>25898.7</v>
      </c>
      <c r="H221" s="10">
        <v>2547</v>
      </c>
      <c r="I221" s="10" t="s">
        <v>1809</v>
      </c>
      <c r="J221" s="10">
        <v>34303.800000000003</v>
      </c>
      <c r="K221" t="s">
        <v>1810</v>
      </c>
      <c r="L221" t="s">
        <v>105</v>
      </c>
      <c r="M221" t="s">
        <v>1877</v>
      </c>
      <c r="N221" t="s">
        <v>1811</v>
      </c>
    </row>
    <row r="222" spans="1:14" x14ac:dyDescent="0.25">
      <c r="A222" s="1" t="s">
        <v>1808</v>
      </c>
      <c r="B222" s="8">
        <v>0.56944444444444442</v>
      </c>
      <c r="C222" t="s">
        <v>1728</v>
      </c>
      <c r="D222" s="1" t="s">
        <v>1952</v>
      </c>
      <c r="E222" t="s">
        <v>1752</v>
      </c>
      <c r="F222" s="1" t="s">
        <v>1755</v>
      </c>
      <c r="G222" s="10">
        <v>10608.95</v>
      </c>
      <c r="H222" s="10">
        <v>3747</v>
      </c>
      <c r="I222" s="10" t="s">
        <v>1809</v>
      </c>
      <c r="J222" s="10">
        <v>22974.05</v>
      </c>
      <c r="K222" t="s">
        <v>1810</v>
      </c>
      <c r="L222" t="s">
        <v>105</v>
      </c>
      <c r="M222" t="s">
        <v>1877</v>
      </c>
      <c r="N222" t="s">
        <v>1811</v>
      </c>
    </row>
    <row r="223" spans="1:14" x14ac:dyDescent="0.25">
      <c r="A223" s="1" t="s">
        <v>1808</v>
      </c>
      <c r="B223" s="8">
        <v>0.56944444444444442</v>
      </c>
      <c r="C223" t="s">
        <v>1728</v>
      </c>
      <c r="D223" s="1" t="s">
        <v>1953</v>
      </c>
      <c r="E223" t="s">
        <v>1756</v>
      </c>
      <c r="F223" s="1" t="s">
        <v>1757</v>
      </c>
      <c r="G223" s="10">
        <v>62645.85</v>
      </c>
      <c r="H223" s="10">
        <v>9434</v>
      </c>
      <c r="I223" s="10" t="s">
        <v>1809</v>
      </c>
      <c r="J223" s="10">
        <v>93778.049999999988</v>
      </c>
      <c r="K223" t="s">
        <v>1810</v>
      </c>
      <c r="L223" t="s">
        <v>1132</v>
      </c>
      <c r="M223" t="s">
        <v>1878</v>
      </c>
      <c r="N223" t="s">
        <v>1811</v>
      </c>
    </row>
    <row r="224" spans="1:14" x14ac:dyDescent="0.25">
      <c r="A224" s="1" t="s">
        <v>1808</v>
      </c>
      <c r="B224" s="8">
        <v>0.56944444444444442</v>
      </c>
      <c r="C224" t="s">
        <v>1728</v>
      </c>
      <c r="D224" s="1" t="s">
        <v>1953</v>
      </c>
      <c r="E224" t="s">
        <v>1756</v>
      </c>
      <c r="F224" s="1" t="s">
        <v>1758</v>
      </c>
      <c r="G224" s="10">
        <v>28951.13</v>
      </c>
      <c r="H224" s="10">
        <v>4471</v>
      </c>
      <c r="I224" s="10" t="s">
        <v>1809</v>
      </c>
      <c r="J224" s="10">
        <v>43705.43</v>
      </c>
      <c r="K224" t="s">
        <v>1810</v>
      </c>
      <c r="L224" t="s">
        <v>1132</v>
      </c>
      <c r="M224" t="s">
        <v>1878</v>
      </c>
      <c r="N224" t="s">
        <v>1811</v>
      </c>
    </row>
    <row r="225" spans="1:14" x14ac:dyDescent="0.25">
      <c r="A225" s="1" t="s">
        <v>1808</v>
      </c>
      <c r="B225" s="8">
        <v>0.56944444444444442</v>
      </c>
      <c r="C225" t="s">
        <v>1728</v>
      </c>
      <c r="D225" s="1" t="s">
        <v>1953</v>
      </c>
      <c r="E225" t="s">
        <v>1756</v>
      </c>
      <c r="F225" s="1" t="s">
        <v>1759</v>
      </c>
      <c r="G225" s="10">
        <v>28341.58</v>
      </c>
      <c r="H225" s="10">
        <v>6304</v>
      </c>
      <c r="I225" s="10" t="s">
        <v>1809</v>
      </c>
      <c r="J225" s="10">
        <v>49144.78</v>
      </c>
      <c r="K225" t="s">
        <v>1810</v>
      </c>
      <c r="L225" t="s">
        <v>1132</v>
      </c>
      <c r="M225" t="s">
        <v>1878</v>
      </c>
      <c r="N225" t="s">
        <v>1811</v>
      </c>
    </row>
    <row r="226" spans="1:14" x14ac:dyDescent="0.25">
      <c r="A226" s="1" t="s">
        <v>1808</v>
      </c>
      <c r="B226" s="8">
        <v>0.56944444444444442</v>
      </c>
      <c r="C226" t="s">
        <v>1728</v>
      </c>
      <c r="D226" s="1" t="s">
        <v>1953</v>
      </c>
      <c r="E226" t="s">
        <v>1756</v>
      </c>
      <c r="F226" s="1" t="s">
        <v>1760</v>
      </c>
      <c r="G226" s="10">
        <v>59540.04</v>
      </c>
      <c r="H226" s="10">
        <v>15891</v>
      </c>
      <c r="I226" s="10" t="s">
        <v>1809</v>
      </c>
      <c r="J226" s="10">
        <v>111980.34</v>
      </c>
      <c r="K226" t="s">
        <v>1810</v>
      </c>
      <c r="L226" t="s">
        <v>1132</v>
      </c>
      <c r="M226" t="s">
        <v>1878</v>
      </c>
      <c r="N226" t="s">
        <v>1811</v>
      </c>
    </row>
    <row r="227" spans="1:14" x14ac:dyDescent="0.25">
      <c r="A227" s="1" t="s">
        <v>1808</v>
      </c>
      <c r="B227" s="8">
        <v>0.56944444444444442</v>
      </c>
      <c r="C227" t="s">
        <v>1728</v>
      </c>
      <c r="D227" s="1" t="s">
        <v>1954</v>
      </c>
      <c r="E227" t="s">
        <v>1761</v>
      </c>
      <c r="F227" s="1" t="s">
        <v>1762</v>
      </c>
      <c r="G227" s="10">
        <v>40368.769999999997</v>
      </c>
      <c r="H227" s="10">
        <v>14368</v>
      </c>
      <c r="I227" s="10" t="s">
        <v>1809</v>
      </c>
      <c r="J227" s="10">
        <v>87783.169999999984</v>
      </c>
      <c r="K227" t="s">
        <v>1810</v>
      </c>
      <c r="L227" t="s">
        <v>301</v>
      </c>
      <c r="M227" t="s">
        <v>1879</v>
      </c>
      <c r="N227" t="s">
        <v>1811</v>
      </c>
    </row>
    <row r="228" spans="1:14" x14ac:dyDescent="0.25">
      <c r="A228" s="1" t="s">
        <v>1808</v>
      </c>
      <c r="B228" s="8">
        <v>0.56944444444444442</v>
      </c>
      <c r="C228" t="s">
        <v>1728</v>
      </c>
      <c r="D228" s="1" t="s">
        <v>1954</v>
      </c>
      <c r="E228" t="s">
        <v>1761</v>
      </c>
      <c r="F228" s="1" t="s">
        <v>1763</v>
      </c>
      <c r="G228" s="10">
        <v>80353.84</v>
      </c>
      <c r="H228" s="10">
        <v>15473.68</v>
      </c>
      <c r="I228" s="10" t="s">
        <v>1809</v>
      </c>
      <c r="J228" s="10">
        <v>131416.984</v>
      </c>
      <c r="K228" t="s">
        <v>1810</v>
      </c>
      <c r="L228" t="s">
        <v>301</v>
      </c>
      <c r="M228" t="s">
        <v>1879</v>
      </c>
      <c r="N228" t="s">
        <v>1811</v>
      </c>
    </row>
    <row r="229" spans="1:14" x14ac:dyDescent="0.25">
      <c r="A229" s="1" t="s">
        <v>1808</v>
      </c>
      <c r="B229" s="8">
        <v>0.57013888888888886</v>
      </c>
      <c r="C229" t="s">
        <v>1728</v>
      </c>
      <c r="D229" s="1" t="s">
        <v>1955</v>
      </c>
      <c r="E229" t="s">
        <v>1764</v>
      </c>
      <c r="F229" s="1" t="s">
        <v>1765</v>
      </c>
      <c r="G229" s="10">
        <v>37640.720000000001</v>
      </c>
      <c r="H229" s="10">
        <v>7966</v>
      </c>
      <c r="I229" s="10" t="s">
        <v>1809</v>
      </c>
      <c r="J229" s="10">
        <v>63928.520000000004</v>
      </c>
      <c r="K229" t="s">
        <v>1810</v>
      </c>
      <c r="L229" t="s">
        <v>1484</v>
      </c>
      <c r="M229" t="s">
        <v>1880</v>
      </c>
      <c r="N229" t="s">
        <v>1811</v>
      </c>
    </row>
    <row r="230" spans="1:14" x14ac:dyDescent="0.25">
      <c r="C230" t="s">
        <v>1728</v>
      </c>
      <c r="D230" s="1" t="s">
        <v>1955</v>
      </c>
      <c r="E230" t="s">
        <v>1764</v>
      </c>
      <c r="F230" s="1" t="s">
        <v>1766</v>
      </c>
      <c r="L230" t="s">
        <v>1484</v>
      </c>
      <c r="M230" t="s">
        <v>1880</v>
      </c>
    </row>
    <row r="231" spans="1:14" x14ac:dyDescent="0.25">
      <c r="C231" t="s">
        <v>1728</v>
      </c>
      <c r="D231" s="1" t="s">
        <v>1955</v>
      </c>
      <c r="E231" t="s">
        <v>1764</v>
      </c>
      <c r="F231" s="1" t="s">
        <v>1767</v>
      </c>
      <c r="G231" s="10">
        <v>44232.92</v>
      </c>
      <c r="H231" s="10">
        <v>67</v>
      </c>
      <c r="I231" s="10" t="s">
        <v>1809</v>
      </c>
      <c r="J231" s="10">
        <v>44454.02</v>
      </c>
      <c r="K231" t="s">
        <v>1810</v>
      </c>
      <c r="L231" t="s">
        <v>1484</v>
      </c>
      <c r="M231" t="s">
        <v>1880</v>
      </c>
      <c r="N231" t="s">
        <v>1811</v>
      </c>
    </row>
    <row r="232" spans="1:14" x14ac:dyDescent="0.25">
      <c r="A232" s="1" t="s">
        <v>1808</v>
      </c>
      <c r="B232" s="8">
        <v>0.57013888888888886</v>
      </c>
      <c r="C232" t="s">
        <v>1728</v>
      </c>
      <c r="D232" s="1" t="s">
        <v>1956</v>
      </c>
      <c r="E232" t="s">
        <v>1768</v>
      </c>
      <c r="F232" s="1" t="s">
        <v>1769</v>
      </c>
      <c r="G232" s="10">
        <v>9527.4699999999993</v>
      </c>
      <c r="H232" s="10">
        <v>3010</v>
      </c>
      <c r="I232" s="10" t="s">
        <v>1809</v>
      </c>
      <c r="J232" s="10">
        <v>19460.47</v>
      </c>
      <c r="K232" t="s">
        <v>1810</v>
      </c>
      <c r="L232" t="s">
        <v>512</v>
      </c>
      <c r="M232" t="s">
        <v>1881</v>
      </c>
      <c r="N232" t="s">
        <v>1811</v>
      </c>
    </row>
    <row r="233" spans="1:14" x14ac:dyDescent="0.25">
      <c r="A233" s="1" t="s">
        <v>1808</v>
      </c>
      <c r="B233" s="8">
        <v>0.57013888888888886</v>
      </c>
      <c r="C233" t="s">
        <v>1728</v>
      </c>
      <c r="D233" s="1" t="s">
        <v>1956</v>
      </c>
      <c r="E233" t="s">
        <v>1768</v>
      </c>
      <c r="F233" s="1" t="s">
        <v>1770</v>
      </c>
      <c r="G233" s="10">
        <v>9701.77</v>
      </c>
      <c r="H233" s="10">
        <v>5676</v>
      </c>
      <c r="I233" s="10" t="s">
        <v>1809</v>
      </c>
      <c r="J233" s="10">
        <v>28432.57</v>
      </c>
      <c r="K233" t="s">
        <v>1810</v>
      </c>
      <c r="L233" t="s">
        <v>512</v>
      </c>
      <c r="M233" t="s">
        <v>1881</v>
      </c>
      <c r="N233" t="s">
        <v>1811</v>
      </c>
    </row>
    <row r="234" spans="1:14" x14ac:dyDescent="0.25">
      <c r="A234" s="1" t="s">
        <v>1808</v>
      </c>
      <c r="B234" s="8">
        <v>0.57013888888888886</v>
      </c>
      <c r="C234" t="s">
        <v>1728</v>
      </c>
      <c r="D234" s="1" t="s">
        <v>1956</v>
      </c>
      <c r="E234" t="s">
        <v>1768</v>
      </c>
      <c r="F234" s="1" t="s">
        <v>1771</v>
      </c>
      <c r="G234" s="10">
        <v>16474.55</v>
      </c>
      <c r="H234" s="10">
        <v>12107.54</v>
      </c>
      <c r="I234" s="10" t="s">
        <v>1809</v>
      </c>
      <c r="J234" s="10">
        <v>56429.432000000001</v>
      </c>
      <c r="K234" t="s">
        <v>1810</v>
      </c>
      <c r="L234" t="s">
        <v>512</v>
      </c>
      <c r="M234" t="s">
        <v>1881</v>
      </c>
      <c r="N234" t="s">
        <v>1811</v>
      </c>
    </row>
    <row r="235" spans="1:14" x14ac:dyDescent="0.25">
      <c r="A235" s="1" t="s">
        <v>1808</v>
      </c>
      <c r="B235" s="8">
        <v>0.57013888888888886</v>
      </c>
      <c r="C235" t="s">
        <v>1728</v>
      </c>
      <c r="D235" s="1" t="s">
        <v>1957</v>
      </c>
      <c r="E235" t="s">
        <v>1772</v>
      </c>
      <c r="F235" s="1" t="s">
        <v>1773</v>
      </c>
      <c r="G235" s="10">
        <v>16447.22</v>
      </c>
      <c r="H235" s="10">
        <v>462</v>
      </c>
      <c r="I235" s="10" t="s">
        <v>1809</v>
      </c>
      <c r="J235" s="10">
        <v>17971.82</v>
      </c>
      <c r="K235" t="s">
        <v>1810</v>
      </c>
      <c r="L235" t="s">
        <v>185</v>
      </c>
      <c r="M235" t="s">
        <v>1882</v>
      </c>
      <c r="N235" t="s">
        <v>1811</v>
      </c>
    </row>
    <row r="236" spans="1:14" x14ac:dyDescent="0.25">
      <c r="A236" s="1" t="s">
        <v>1808</v>
      </c>
      <c r="B236" s="8">
        <v>0.57013888888888886</v>
      </c>
      <c r="C236" t="s">
        <v>1728</v>
      </c>
      <c r="D236" s="1" t="s">
        <v>1957</v>
      </c>
      <c r="E236" t="s">
        <v>1772</v>
      </c>
      <c r="F236" s="1" t="s">
        <v>1774</v>
      </c>
      <c r="G236" s="10">
        <v>45618.559999999998</v>
      </c>
      <c r="H236" s="10">
        <v>6566</v>
      </c>
      <c r="I236" s="10" t="s">
        <v>1809</v>
      </c>
      <c r="J236" s="10">
        <v>67286.36</v>
      </c>
      <c r="K236" t="s">
        <v>1810</v>
      </c>
      <c r="L236" t="s">
        <v>185</v>
      </c>
      <c r="M236" t="s">
        <v>1882</v>
      </c>
      <c r="N236" t="s">
        <v>1811</v>
      </c>
    </row>
    <row r="237" spans="1:14" x14ac:dyDescent="0.25">
      <c r="A237" s="1" t="s">
        <v>1808</v>
      </c>
      <c r="B237" s="8">
        <v>0.5708333333333333</v>
      </c>
      <c r="C237" t="s">
        <v>1728</v>
      </c>
      <c r="D237" s="1" t="s">
        <v>1957</v>
      </c>
      <c r="E237" t="s">
        <v>1772</v>
      </c>
      <c r="F237" s="1" t="s">
        <v>1775</v>
      </c>
      <c r="G237" s="10">
        <v>21154</v>
      </c>
      <c r="H237" s="10">
        <v>400</v>
      </c>
      <c r="I237" s="10" t="s">
        <v>1809</v>
      </c>
      <c r="J237" s="10">
        <v>22474</v>
      </c>
      <c r="K237" t="s">
        <v>1810</v>
      </c>
      <c r="L237" t="s">
        <v>185</v>
      </c>
      <c r="M237" t="s">
        <v>1882</v>
      </c>
      <c r="N237" t="s">
        <v>1811</v>
      </c>
    </row>
    <row r="238" spans="1:14" x14ac:dyDescent="0.25">
      <c r="A238" s="1" t="s">
        <v>1808</v>
      </c>
      <c r="B238" s="8">
        <v>0.5708333333333333</v>
      </c>
      <c r="C238" t="s">
        <v>1728</v>
      </c>
      <c r="D238" s="1" t="s">
        <v>1958</v>
      </c>
      <c r="E238" t="s">
        <v>1776</v>
      </c>
      <c r="F238" s="1" t="s">
        <v>1777</v>
      </c>
      <c r="G238" s="10">
        <v>-4547.05</v>
      </c>
      <c r="H238" s="10">
        <v>-806</v>
      </c>
      <c r="I238" s="10">
        <v>11025</v>
      </c>
      <c r="J238" s="10">
        <v>35790.65</v>
      </c>
      <c r="K238" t="s">
        <v>1812</v>
      </c>
      <c r="L238" t="s">
        <v>1380</v>
      </c>
      <c r="M238" t="s">
        <v>1883</v>
      </c>
      <c r="N238" t="s">
        <v>1811</v>
      </c>
    </row>
    <row r="239" spans="1:14" x14ac:dyDescent="0.25">
      <c r="A239" s="1" t="s">
        <v>1808</v>
      </c>
      <c r="B239" s="8">
        <v>0.5708333333333333</v>
      </c>
      <c r="C239" t="s">
        <v>1728</v>
      </c>
      <c r="D239" s="1" t="s">
        <v>1958</v>
      </c>
      <c r="E239" t="s">
        <v>1776</v>
      </c>
      <c r="F239" s="1" t="s">
        <v>1778</v>
      </c>
      <c r="G239" s="10">
        <v>29344.400000000001</v>
      </c>
      <c r="H239" s="10">
        <v>6378</v>
      </c>
      <c r="I239" s="10">
        <v>18495</v>
      </c>
      <c r="J239" s="10">
        <v>122522.3</v>
      </c>
      <c r="K239" t="s">
        <v>1810</v>
      </c>
      <c r="L239" t="s">
        <v>1380</v>
      </c>
      <c r="M239" t="s">
        <v>1883</v>
      </c>
      <c r="N239" t="s">
        <v>1811</v>
      </c>
    </row>
    <row r="240" spans="1:14" x14ac:dyDescent="0.25">
      <c r="A240" s="1" t="s">
        <v>1808</v>
      </c>
      <c r="B240" s="8">
        <v>0.5708333333333333</v>
      </c>
      <c r="C240" t="s">
        <v>1728</v>
      </c>
      <c r="D240" s="1" t="s">
        <v>1959</v>
      </c>
      <c r="E240" t="s">
        <v>1779</v>
      </c>
      <c r="F240" s="1" t="s">
        <v>1780</v>
      </c>
      <c r="G240" s="10">
        <v>7056.88</v>
      </c>
      <c r="H240" s="10">
        <v>3246</v>
      </c>
      <c r="I240" s="10" t="s">
        <v>1809</v>
      </c>
      <c r="J240" s="10">
        <v>17768.68</v>
      </c>
      <c r="K240" t="s">
        <v>1810</v>
      </c>
      <c r="L240" t="s">
        <v>101</v>
      </c>
      <c r="M240" t="s">
        <v>1884</v>
      </c>
      <c r="N240" t="s">
        <v>1811</v>
      </c>
    </row>
    <row r="241" spans="1:14" x14ac:dyDescent="0.25">
      <c r="A241" s="1" t="s">
        <v>1808</v>
      </c>
      <c r="B241" s="8">
        <v>0.5708333333333333</v>
      </c>
      <c r="C241" t="s">
        <v>1728</v>
      </c>
      <c r="D241" s="1" t="s">
        <v>1959</v>
      </c>
      <c r="E241" t="s">
        <v>1779</v>
      </c>
      <c r="F241" s="1" t="s">
        <v>1781</v>
      </c>
      <c r="G241" s="10">
        <v>42921.08</v>
      </c>
      <c r="H241" s="10">
        <v>10166</v>
      </c>
      <c r="I241" s="10" t="s">
        <v>1809</v>
      </c>
      <c r="J241" s="10">
        <v>76468.88</v>
      </c>
      <c r="K241" t="s">
        <v>1810</v>
      </c>
      <c r="L241" t="s">
        <v>101</v>
      </c>
      <c r="M241" t="s">
        <v>1884</v>
      </c>
      <c r="N241" t="s">
        <v>1811</v>
      </c>
    </row>
    <row r="242" spans="1:14" x14ac:dyDescent="0.25">
      <c r="A242" s="1" t="s">
        <v>1808</v>
      </c>
      <c r="B242" s="8">
        <v>0.5708333333333333</v>
      </c>
      <c r="C242" t="s">
        <v>1728</v>
      </c>
      <c r="D242" s="1" t="s">
        <v>1959</v>
      </c>
      <c r="E242" t="s">
        <v>1779</v>
      </c>
      <c r="F242" s="1" t="s">
        <v>1782</v>
      </c>
      <c r="G242" s="10">
        <v>61515.59</v>
      </c>
      <c r="H242" s="10">
        <v>3659</v>
      </c>
      <c r="I242" s="10" t="s">
        <v>1809</v>
      </c>
      <c r="J242" s="10">
        <v>73590.289999999994</v>
      </c>
      <c r="K242" t="s">
        <v>1810</v>
      </c>
      <c r="L242" t="s">
        <v>101</v>
      </c>
      <c r="M242" t="s">
        <v>1884</v>
      </c>
      <c r="N242" t="s">
        <v>1811</v>
      </c>
    </row>
    <row r="243" spans="1:14" x14ac:dyDescent="0.25">
      <c r="A243" s="1" t="s">
        <v>1808</v>
      </c>
      <c r="B243" s="8">
        <v>0.5708333333333333</v>
      </c>
      <c r="C243" t="s">
        <v>1728</v>
      </c>
      <c r="D243" s="1" t="s">
        <v>1960</v>
      </c>
      <c r="E243" t="s">
        <v>1783</v>
      </c>
      <c r="F243" s="1" t="s">
        <v>1784</v>
      </c>
      <c r="G243" s="10">
        <v>30598.77</v>
      </c>
      <c r="H243" s="10">
        <v>-23379</v>
      </c>
      <c r="I243" s="10" t="s">
        <v>1809</v>
      </c>
      <c r="J243" s="10">
        <v>-46551.929999999993</v>
      </c>
      <c r="K243" t="s">
        <v>1812</v>
      </c>
      <c r="L243" t="s">
        <v>97</v>
      </c>
      <c r="M243" t="s">
        <v>1885</v>
      </c>
      <c r="N243" t="s">
        <v>1811</v>
      </c>
    </row>
    <row r="244" spans="1:14" x14ac:dyDescent="0.25">
      <c r="A244" s="1" t="s">
        <v>1808</v>
      </c>
      <c r="B244" s="8">
        <v>0.5708333333333333</v>
      </c>
      <c r="C244" t="s">
        <v>1728</v>
      </c>
      <c r="D244" s="1" t="s">
        <v>1960</v>
      </c>
      <c r="E244" t="s">
        <v>1783</v>
      </c>
      <c r="F244" s="1" t="s">
        <v>1785</v>
      </c>
      <c r="G244" s="10">
        <v>13121.1</v>
      </c>
      <c r="H244" s="10">
        <v>12132</v>
      </c>
      <c r="I244" s="10" t="s">
        <v>1809</v>
      </c>
      <c r="J244" s="10">
        <v>53156.7</v>
      </c>
      <c r="K244" t="s">
        <v>1810</v>
      </c>
      <c r="L244" t="s">
        <v>97</v>
      </c>
      <c r="M244" t="s">
        <v>1885</v>
      </c>
      <c r="N244" t="s">
        <v>1811</v>
      </c>
    </row>
    <row r="245" spans="1:14" x14ac:dyDescent="0.25">
      <c r="A245" s="1" t="s">
        <v>1808</v>
      </c>
      <c r="B245" s="8">
        <v>0.57152777777777775</v>
      </c>
      <c r="C245" t="s">
        <v>1728</v>
      </c>
      <c r="D245" s="1" t="s">
        <v>1960</v>
      </c>
      <c r="E245" t="s">
        <v>1783</v>
      </c>
      <c r="F245" s="1" t="s">
        <v>1786</v>
      </c>
      <c r="G245" s="10">
        <v>101833.44</v>
      </c>
      <c r="H245" s="10">
        <v>14245</v>
      </c>
      <c r="I245" s="10" t="s">
        <v>1809</v>
      </c>
      <c r="J245" s="10">
        <v>148841.94</v>
      </c>
      <c r="K245" t="s">
        <v>1810</v>
      </c>
      <c r="L245" t="s">
        <v>97</v>
      </c>
      <c r="M245" t="s">
        <v>1885</v>
      </c>
      <c r="N245" t="s">
        <v>1811</v>
      </c>
    </row>
    <row r="246" spans="1:14" x14ac:dyDescent="0.25">
      <c r="A246" s="1" t="s">
        <v>1808</v>
      </c>
      <c r="B246" s="8">
        <v>0.57152777777777775</v>
      </c>
      <c r="C246" t="s">
        <v>1728</v>
      </c>
      <c r="D246" s="1" t="s">
        <v>1960</v>
      </c>
      <c r="E246" t="s">
        <v>1783</v>
      </c>
      <c r="F246" s="1" t="s">
        <v>1787</v>
      </c>
      <c r="G246" s="10">
        <v>13174.17</v>
      </c>
      <c r="H246" s="10">
        <v>7294</v>
      </c>
      <c r="I246" s="10" t="s">
        <v>1809</v>
      </c>
      <c r="J246" s="10">
        <v>37244.369999999995</v>
      </c>
      <c r="K246" t="s">
        <v>1810</v>
      </c>
      <c r="L246" t="s">
        <v>97</v>
      </c>
      <c r="M246" t="s">
        <v>1885</v>
      </c>
      <c r="N246" t="s">
        <v>1811</v>
      </c>
    </row>
    <row r="247" spans="1:14" x14ac:dyDescent="0.25">
      <c r="A247" s="1" t="s">
        <v>1808</v>
      </c>
      <c r="B247" s="8">
        <v>0.57152777777777775</v>
      </c>
      <c r="C247" t="s">
        <v>1728</v>
      </c>
      <c r="D247" s="1" t="s">
        <v>1961</v>
      </c>
      <c r="E247" t="s">
        <v>1788</v>
      </c>
      <c r="F247" s="1" t="s">
        <v>1789</v>
      </c>
      <c r="G247" s="10">
        <v>36100</v>
      </c>
      <c r="H247" s="10">
        <v>1578</v>
      </c>
      <c r="I247" s="10" t="s">
        <v>1809</v>
      </c>
      <c r="J247" s="10">
        <v>41307.4</v>
      </c>
      <c r="K247" t="s">
        <v>1810</v>
      </c>
      <c r="L247" t="s">
        <v>1312</v>
      </c>
      <c r="M247" t="s">
        <v>1886</v>
      </c>
      <c r="N247" t="s">
        <v>1811</v>
      </c>
    </row>
    <row r="248" spans="1:14" x14ac:dyDescent="0.25">
      <c r="A248" s="1" t="s">
        <v>1808</v>
      </c>
      <c r="B248" s="8">
        <v>0.57152777777777775</v>
      </c>
      <c r="C248" t="s">
        <v>1728</v>
      </c>
      <c r="D248" s="1" t="s">
        <v>1961</v>
      </c>
      <c r="E248" t="s">
        <v>1788</v>
      </c>
      <c r="F248" s="1" t="s">
        <v>1790</v>
      </c>
      <c r="G248" s="10">
        <v>214276.64</v>
      </c>
      <c r="H248" s="10">
        <v>2609</v>
      </c>
      <c r="I248" s="10" t="s">
        <v>1809</v>
      </c>
      <c r="J248" s="10">
        <v>222886.34000000003</v>
      </c>
      <c r="K248" t="s">
        <v>1813</v>
      </c>
      <c r="L248" t="s">
        <v>1312</v>
      </c>
      <c r="M248" t="s">
        <v>1886</v>
      </c>
      <c r="N248" t="s">
        <v>1811</v>
      </c>
    </row>
    <row r="249" spans="1:14" x14ac:dyDescent="0.25">
      <c r="A249" s="1" t="s">
        <v>1808</v>
      </c>
      <c r="B249" s="8">
        <v>0.57152777777777775</v>
      </c>
      <c r="C249" t="s">
        <v>1728</v>
      </c>
      <c r="D249" s="1" t="s">
        <v>1961</v>
      </c>
      <c r="E249" t="s">
        <v>1788</v>
      </c>
      <c r="F249" s="1" t="s">
        <v>1791</v>
      </c>
      <c r="G249" s="10">
        <v>42333.01</v>
      </c>
      <c r="H249" s="10">
        <v>6868</v>
      </c>
      <c r="I249" s="10" t="s">
        <v>1809</v>
      </c>
      <c r="J249" s="10">
        <v>64997.41</v>
      </c>
      <c r="K249" t="s">
        <v>1810</v>
      </c>
      <c r="L249" t="s">
        <v>1312</v>
      </c>
      <c r="M249" t="s">
        <v>1886</v>
      </c>
      <c r="N249" t="s">
        <v>1811</v>
      </c>
    </row>
    <row r="250" spans="1:14" x14ac:dyDescent="0.25">
      <c r="A250" s="1" t="s">
        <v>1808</v>
      </c>
      <c r="B250" s="8">
        <v>0.57152777777777775</v>
      </c>
      <c r="C250" t="s">
        <v>1728</v>
      </c>
      <c r="D250" s="1" t="s">
        <v>1961</v>
      </c>
      <c r="E250" t="s">
        <v>1788</v>
      </c>
      <c r="F250" s="1" t="s">
        <v>1792</v>
      </c>
      <c r="G250" s="10">
        <v>8031.66</v>
      </c>
      <c r="H250" s="10">
        <v>28</v>
      </c>
      <c r="I250" s="10" t="s">
        <v>1809</v>
      </c>
      <c r="J250" s="10">
        <v>8124.0599999999995</v>
      </c>
      <c r="K250" t="s">
        <v>1810</v>
      </c>
      <c r="L250" t="s">
        <v>1312</v>
      </c>
      <c r="M250" t="s">
        <v>1886</v>
      </c>
      <c r="N250" t="s">
        <v>1811</v>
      </c>
    </row>
    <row r="251" spans="1:14" x14ac:dyDescent="0.25">
      <c r="A251" s="1" t="s">
        <v>1808</v>
      </c>
      <c r="B251" s="8">
        <v>0.57152777777777775</v>
      </c>
      <c r="C251" t="s">
        <v>1728</v>
      </c>
      <c r="D251" s="1" t="s">
        <v>1961</v>
      </c>
      <c r="E251" t="s">
        <v>1788</v>
      </c>
      <c r="F251" s="1" t="s">
        <v>1793</v>
      </c>
      <c r="G251" s="10">
        <v>48402.83</v>
      </c>
      <c r="H251" s="10">
        <v>10852</v>
      </c>
      <c r="I251" s="10" t="s">
        <v>1809</v>
      </c>
      <c r="J251" s="10">
        <v>84214.43</v>
      </c>
      <c r="K251" t="s">
        <v>1810</v>
      </c>
      <c r="L251" t="s">
        <v>1312</v>
      </c>
      <c r="M251" t="s">
        <v>1886</v>
      </c>
      <c r="N251" t="s">
        <v>1811</v>
      </c>
    </row>
    <row r="252" spans="1:14" x14ac:dyDescent="0.25">
      <c r="A252" s="1" t="s">
        <v>1808</v>
      </c>
      <c r="B252" s="8">
        <v>0.57152777777777775</v>
      </c>
      <c r="C252" t="s">
        <v>1728</v>
      </c>
      <c r="D252" s="1" t="s">
        <v>1962</v>
      </c>
      <c r="E252" t="s">
        <v>1794</v>
      </c>
      <c r="F252" s="1" t="s">
        <v>1795</v>
      </c>
      <c r="G252" s="10">
        <v>9574.4</v>
      </c>
      <c r="H252" s="10">
        <v>6505</v>
      </c>
      <c r="I252" s="10">
        <v>1645</v>
      </c>
      <c r="J252" s="10">
        <v>37456.400000000001</v>
      </c>
      <c r="K252" t="s">
        <v>1810</v>
      </c>
      <c r="L252" t="s">
        <v>508</v>
      </c>
      <c r="M252" t="s">
        <v>1887</v>
      </c>
      <c r="N252" t="s">
        <v>1811</v>
      </c>
    </row>
    <row r="253" spans="1:14" x14ac:dyDescent="0.25">
      <c r="A253" s="1" t="s">
        <v>1808</v>
      </c>
      <c r="B253" s="8">
        <v>0.57152777777777775</v>
      </c>
      <c r="C253" t="s">
        <v>1728</v>
      </c>
      <c r="D253" s="1" t="s">
        <v>1962</v>
      </c>
      <c r="E253" t="s">
        <v>1794</v>
      </c>
      <c r="F253" s="1" t="s">
        <v>1796</v>
      </c>
      <c r="G253" s="10">
        <v>14384</v>
      </c>
      <c r="H253" s="10">
        <v>2066</v>
      </c>
      <c r="I253" s="10">
        <v>2810</v>
      </c>
      <c r="J253" s="10">
        <v>32160.799999999999</v>
      </c>
      <c r="K253" t="s">
        <v>1810</v>
      </c>
      <c r="L253" t="s">
        <v>508</v>
      </c>
      <c r="M253" t="s">
        <v>1887</v>
      </c>
      <c r="N253" t="s">
        <v>1811</v>
      </c>
    </row>
    <row r="254" spans="1:14" x14ac:dyDescent="0.25">
      <c r="A254" s="1" t="s">
        <v>1808</v>
      </c>
      <c r="B254" s="8">
        <v>0.57222222222222219</v>
      </c>
      <c r="C254" t="s">
        <v>1728</v>
      </c>
      <c r="D254" s="1" t="s">
        <v>1962</v>
      </c>
      <c r="E254" t="s">
        <v>1794</v>
      </c>
      <c r="F254" s="1" t="s">
        <v>1797</v>
      </c>
      <c r="G254" s="10">
        <v>5336.8</v>
      </c>
      <c r="H254" s="10">
        <v>244</v>
      </c>
      <c r="I254" s="10">
        <v>1650</v>
      </c>
      <c r="J254" s="10">
        <v>12577</v>
      </c>
      <c r="K254" t="s">
        <v>1810</v>
      </c>
      <c r="L254" t="s">
        <v>508</v>
      </c>
      <c r="M254" t="s">
        <v>1887</v>
      </c>
      <c r="N254" t="s">
        <v>1811</v>
      </c>
    </row>
    <row r="255" spans="1:14" x14ac:dyDescent="0.25">
      <c r="A255" s="1" t="s">
        <v>1808</v>
      </c>
      <c r="B255" s="8">
        <v>0.57222222222222219</v>
      </c>
      <c r="C255" t="s">
        <v>1728</v>
      </c>
      <c r="D255" s="1" t="s">
        <v>1962</v>
      </c>
      <c r="E255" t="s">
        <v>1794</v>
      </c>
      <c r="F255" s="1" t="s">
        <v>1798</v>
      </c>
      <c r="G255" s="10">
        <v>4172.3</v>
      </c>
      <c r="H255" s="10">
        <v>12285</v>
      </c>
      <c r="I255" s="10">
        <v>2260</v>
      </c>
      <c r="J255" s="10">
        <v>53526.8</v>
      </c>
      <c r="K255" t="s">
        <v>1810</v>
      </c>
      <c r="L255" t="s">
        <v>508</v>
      </c>
      <c r="M255" t="s">
        <v>1887</v>
      </c>
      <c r="N255" t="s">
        <v>1811</v>
      </c>
    </row>
    <row r="256" spans="1:14" x14ac:dyDescent="0.25">
      <c r="A256" s="1" t="s">
        <v>1808</v>
      </c>
      <c r="B256" s="8">
        <v>0.57222222222222219</v>
      </c>
      <c r="C256" t="s">
        <v>1728</v>
      </c>
      <c r="D256" s="1" t="s">
        <v>1962</v>
      </c>
      <c r="E256" t="s">
        <v>1794</v>
      </c>
      <c r="F256" s="1" t="s">
        <v>1799</v>
      </c>
      <c r="G256" s="10">
        <v>7353.1</v>
      </c>
      <c r="H256" s="10">
        <v>7477</v>
      </c>
      <c r="I256" s="10">
        <v>4820</v>
      </c>
      <c r="J256" s="10">
        <v>50825.2</v>
      </c>
      <c r="K256" t="s">
        <v>1810</v>
      </c>
      <c r="L256" t="s">
        <v>508</v>
      </c>
      <c r="M256" t="s">
        <v>1887</v>
      </c>
      <c r="N256" t="s">
        <v>1811</v>
      </c>
    </row>
    <row r="257" spans="1:14" x14ac:dyDescent="0.25">
      <c r="A257" s="1" t="s">
        <v>1808</v>
      </c>
      <c r="B257" s="8">
        <v>0.57222222222222219</v>
      </c>
      <c r="C257" t="s">
        <v>1728</v>
      </c>
      <c r="D257" s="1" t="s">
        <v>1962</v>
      </c>
      <c r="E257" t="s">
        <v>1794</v>
      </c>
      <c r="F257" s="1" t="s">
        <v>1800</v>
      </c>
      <c r="G257" s="10">
        <v>9628.17</v>
      </c>
      <c r="H257" s="10">
        <v>4852</v>
      </c>
      <c r="I257" s="10">
        <v>1745</v>
      </c>
      <c r="J257" s="10">
        <v>32445.269999999997</v>
      </c>
      <c r="K257" t="s">
        <v>1810</v>
      </c>
      <c r="L257" t="s">
        <v>508</v>
      </c>
      <c r="M257" t="s">
        <v>1887</v>
      </c>
      <c r="N257" t="s">
        <v>1811</v>
      </c>
    </row>
    <row r="258" spans="1:14" x14ac:dyDescent="0.25">
      <c r="A258" s="1" t="s">
        <v>1808</v>
      </c>
      <c r="B258" s="8">
        <v>0.57222222222222219</v>
      </c>
      <c r="C258" t="s">
        <v>1728</v>
      </c>
      <c r="D258" s="1" t="s">
        <v>1963</v>
      </c>
      <c r="E258" t="s">
        <v>1801</v>
      </c>
      <c r="F258" s="1" t="s">
        <v>1802</v>
      </c>
      <c r="G258" s="10">
        <v>26748.720000000001</v>
      </c>
      <c r="H258" s="10">
        <v>12011</v>
      </c>
      <c r="I258" s="10" t="s">
        <v>1809</v>
      </c>
      <c r="J258" s="10">
        <v>66385.01999999999</v>
      </c>
      <c r="K258" t="s">
        <v>1810</v>
      </c>
      <c r="L258" t="s">
        <v>1364</v>
      </c>
      <c r="M258" t="s">
        <v>1888</v>
      </c>
      <c r="N258" t="s">
        <v>1811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14"/>
  <sheetViews>
    <sheetView topLeftCell="E1" workbookViewId="0">
      <selection activeCell="A2" sqref="A2:N14"/>
    </sheetView>
  </sheetViews>
  <sheetFormatPr baseColWidth="10" defaultRowHeight="15" x14ac:dyDescent="0.25"/>
  <cols>
    <col min="1" max="1" width="10.7109375" bestFit="1" customWidth="1"/>
    <col min="2" max="2" width="6.140625" bestFit="1" customWidth="1"/>
    <col min="3" max="3" width="13" bestFit="1" customWidth="1"/>
    <col min="4" max="4" width="8.28515625" bestFit="1" customWidth="1"/>
    <col min="5" max="5" width="30.7109375" bestFit="1" customWidth="1"/>
    <col min="6" max="6" width="10.140625" bestFit="1" customWidth="1"/>
    <col min="7" max="7" width="10.85546875" bestFit="1" customWidth="1"/>
    <col min="8" max="9" width="9.5703125" bestFit="1" customWidth="1"/>
    <col min="10" max="10" width="12.85546875" bestFit="1" customWidth="1"/>
    <col min="11" max="11" width="16.7109375" bestFit="1" customWidth="1"/>
    <col min="12" max="12" width="46.5703125" bestFit="1" customWidth="1"/>
    <col min="13" max="13" width="61.42578125" bestFit="1" customWidth="1"/>
    <col min="14" max="14" width="13.7109375" customWidth="1"/>
  </cols>
  <sheetData>
    <row r="1" spans="1:14" x14ac:dyDescent="0.25">
      <c r="A1" s="5" t="s">
        <v>1498</v>
      </c>
      <c r="B1" s="5" t="s">
        <v>1499</v>
      </c>
      <c r="C1" s="5" t="s">
        <v>1500</v>
      </c>
      <c r="D1" s="5" t="s">
        <v>1501</v>
      </c>
      <c r="E1" s="5" t="s">
        <v>1502</v>
      </c>
      <c r="F1" s="5" t="s">
        <v>1503</v>
      </c>
      <c r="G1" s="5" t="s">
        <v>1504</v>
      </c>
      <c r="H1" s="5" t="s">
        <v>1505</v>
      </c>
      <c r="I1" s="5" t="s">
        <v>1506</v>
      </c>
      <c r="J1" s="5" t="s">
        <v>1507</v>
      </c>
      <c r="K1" s="5" t="s">
        <v>1508</v>
      </c>
      <c r="L1" s="5" t="s">
        <v>1509</v>
      </c>
      <c r="M1" s="5" t="s">
        <v>1510</v>
      </c>
      <c r="N1" s="5" t="s">
        <v>1803</v>
      </c>
    </row>
    <row r="2" spans="1:14" x14ac:dyDescent="0.25">
      <c r="A2" s="1" t="s">
        <v>1808</v>
      </c>
      <c r="B2" s="8">
        <v>0.55069444444444449</v>
      </c>
      <c r="C2" t="s">
        <v>1511</v>
      </c>
      <c r="D2" s="1" t="s">
        <v>1891</v>
      </c>
      <c r="E2" t="s">
        <v>1520</v>
      </c>
      <c r="F2" s="1" t="s">
        <v>1521</v>
      </c>
      <c r="G2" s="10">
        <v>-369467.59</v>
      </c>
      <c r="H2" s="10">
        <v>2560</v>
      </c>
      <c r="I2" s="10" t="s">
        <v>1809</v>
      </c>
      <c r="J2" s="10">
        <v>-361019.59</v>
      </c>
      <c r="K2" t="s">
        <v>1812</v>
      </c>
      <c r="L2" t="s">
        <v>564</v>
      </c>
      <c r="M2" t="s">
        <v>1816</v>
      </c>
      <c r="N2" t="s">
        <v>1811</v>
      </c>
    </row>
    <row r="3" spans="1:14" x14ac:dyDescent="0.25">
      <c r="A3" s="1" t="s">
        <v>1808</v>
      </c>
      <c r="B3" s="8">
        <v>0.55277777777777781</v>
      </c>
      <c r="C3" t="s">
        <v>1511</v>
      </c>
      <c r="D3" s="1" t="s">
        <v>1896</v>
      </c>
      <c r="E3" t="s">
        <v>1539</v>
      </c>
      <c r="F3" s="1" t="s">
        <v>1541</v>
      </c>
      <c r="G3" s="10">
        <v>-60456.72</v>
      </c>
      <c r="H3" s="10">
        <v>4912</v>
      </c>
      <c r="I3" s="10">
        <v>550</v>
      </c>
      <c r="J3" s="10">
        <v>-42102.12</v>
      </c>
      <c r="K3" t="s">
        <v>1812</v>
      </c>
      <c r="L3" t="s">
        <v>395</v>
      </c>
      <c r="M3" t="s">
        <v>1821</v>
      </c>
      <c r="N3" t="s">
        <v>1811</v>
      </c>
    </row>
    <row r="4" spans="1:14" x14ac:dyDescent="0.25">
      <c r="A4" s="1" t="s">
        <v>1808</v>
      </c>
      <c r="B4" s="8">
        <v>0.55347222222222225</v>
      </c>
      <c r="C4" t="s">
        <v>1511</v>
      </c>
      <c r="D4" s="1" t="s">
        <v>1898</v>
      </c>
      <c r="E4" t="s">
        <v>1553</v>
      </c>
      <c r="F4" s="1" t="s">
        <v>1557</v>
      </c>
      <c r="G4" s="10">
        <v>170637.96</v>
      </c>
      <c r="H4" s="10">
        <v>10025</v>
      </c>
      <c r="I4" s="10" t="s">
        <v>1809</v>
      </c>
      <c r="J4" s="10">
        <v>203720.46</v>
      </c>
      <c r="K4" t="s">
        <v>1813</v>
      </c>
      <c r="L4" t="s">
        <v>383</v>
      </c>
      <c r="M4" t="s">
        <v>1823</v>
      </c>
      <c r="N4" t="s">
        <v>1811</v>
      </c>
    </row>
    <row r="5" spans="1:14" x14ac:dyDescent="0.25">
      <c r="A5" s="1" t="s">
        <v>1808</v>
      </c>
      <c r="B5" s="8">
        <v>0.5541666666666667</v>
      </c>
      <c r="C5" t="s">
        <v>1511</v>
      </c>
      <c r="D5" s="1" t="s">
        <v>1900</v>
      </c>
      <c r="E5" t="s">
        <v>1559</v>
      </c>
      <c r="F5" s="1" t="s">
        <v>1560</v>
      </c>
      <c r="G5" s="10">
        <v>-903.11</v>
      </c>
      <c r="H5" s="10">
        <v>10954</v>
      </c>
      <c r="I5" s="10" t="s">
        <v>1809</v>
      </c>
      <c r="J5" s="10">
        <v>35245.089999999997</v>
      </c>
      <c r="K5" t="s">
        <v>1812</v>
      </c>
      <c r="L5" t="s">
        <v>1075</v>
      </c>
      <c r="M5" t="s">
        <v>1825</v>
      </c>
      <c r="N5" t="s">
        <v>1811</v>
      </c>
    </row>
    <row r="6" spans="1:14" x14ac:dyDescent="0.25">
      <c r="A6" s="1" t="s">
        <v>1808</v>
      </c>
      <c r="B6" s="8">
        <v>0.55555555555555558</v>
      </c>
      <c r="C6" t="s">
        <v>1511</v>
      </c>
      <c r="D6" s="1" t="s">
        <v>1904</v>
      </c>
      <c r="E6" t="s">
        <v>1580</v>
      </c>
      <c r="F6" s="1" t="s">
        <v>1583</v>
      </c>
      <c r="G6" s="10">
        <v>186202.23</v>
      </c>
      <c r="H6" s="10">
        <v>1142</v>
      </c>
      <c r="I6" s="10" t="s">
        <v>1809</v>
      </c>
      <c r="J6" s="10">
        <v>189970.83000000002</v>
      </c>
      <c r="K6" t="s">
        <v>1813</v>
      </c>
      <c r="L6" t="s">
        <v>1172</v>
      </c>
      <c r="M6" t="s">
        <v>1829</v>
      </c>
      <c r="N6" t="s">
        <v>1811</v>
      </c>
    </row>
    <row r="7" spans="1:14" x14ac:dyDescent="0.25">
      <c r="A7" s="1" t="s">
        <v>1808</v>
      </c>
      <c r="B7" s="8">
        <v>0.55625000000000002</v>
      </c>
      <c r="C7" t="s">
        <v>1511</v>
      </c>
      <c r="D7" s="1" t="s">
        <v>1906</v>
      </c>
      <c r="E7" t="s">
        <v>1588</v>
      </c>
      <c r="F7" s="1" t="s">
        <v>1592</v>
      </c>
      <c r="G7" s="10">
        <v>-88502.85</v>
      </c>
      <c r="H7" s="10">
        <v>8669</v>
      </c>
      <c r="I7" s="10">
        <v>4485</v>
      </c>
      <c r="J7" s="10">
        <v>-42403.650000000009</v>
      </c>
      <c r="K7" t="s">
        <v>1812</v>
      </c>
      <c r="L7" t="s">
        <v>496</v>
      </c>
      <c r="M7" t="s">
        <v>1831</v>
      </c>
      <c r="N7" t="s">
        <v>1811</v>
      </c>
    </row>
    <row r="8" spans="1:14" x14ac:dyDescent="0.25">
      <c r="A8" s="1" t="s">
        <v>1808</v>
      </c>
      <c r="B8" s="8">
        <v>0.55902777777777779</v>
      </c>
      <c r="C8" t="s">
        <v>1511</v>
      </c>
      <c r="D8" s="1" t="s">
        <v>1917</v>
      </c>
      <c r="E8" t="s">
        <v>1626</v>
      </c>
      <c r="F8" s="1" t="s">
        <v>1629</v>
      </c>
      <c r="G8" s="10">
        <v>177181.75</v>
      </c>
      <c r="H8" s="10">
        <v>21019</v>
      </c>
      <c r="I8" s="10" t="s">
        <v>1809</v>
      </c>
      <c r="J8" s="10">
        <v>246544.45</v>
      </c>
      <c r="K8" t="s">
        <v>1813</v>
      </c>
      <c r="L8" t="s">
        <v>359</v>
      </c>
      <c r="M8" t="s">
        <v>1842</v>
      </c>
      <c r="N8" t="s">
        <v>1811</v>
      </c>
    </row>
    <row r="9" spans="1:14" x14ac:dyDescent="0.25">
      <c r="A9" s="1" t="s">
        <v>1808</v>
      </c>
      <c r="B9" s="8">
        <v>0.55902777777777779</v>
      </c>
      <c r="C9" t="s">
        <v>1511</v>
      </c>
      <c r="D9" s="1" t="s">
        <v>1917</v>
      </c>
      <c r="E9" t="s">
        <v>1626</v>
      </c>
      <c r="F9" s="1" t="s">
        <v>1630</v>
      </c>
      <c r="G9" s="10">
        <v>-1180.22</v>
      </c>
      <c r="H9" s="10">
        <v>9450</v>
      </c>
      <c r="I9" s="10" t="s">
        <v>1809</v>
      </c>
      <c r="J9" s="10">
        <v>30004.78</v>
      </c>
      <c r="K9" t="s">
        <v>1812</v>
      </c>
      <c r="L9" t="s">
        <v>359</v>
      </c>
      <c r="M9" t="s">
        <v>1842</v>
      </c>
      <c r="N9" t="s">
        <v>1811</v>
      </c>
    </row>
    <row r="10" spans="1:14" x14ac:dyDescent="0.25">
      <c r="A10" s="1" t="s">
        <v>1808</v>
      </c>
      <c r="B10" s="8">
        <v>0.55972222222222223</v>
      </c>
      <c r="C10" t="s">
        <v>1635</v>
      </c>
      <c r="D10" s="1" t="s">
        <v>1921</v>
      </c>
      <c r="E10" t="s">
        <v>1645</v>
      </c>
      <c r="F10" s="1" t="s">
        <v>1646</v>
      </c>
      <c r="G10" s="10">
        <v>-1169.8699999999999</v>
      </c>
      <c r="H10" s="10">
        <v>4289</v>
      </c>
      <c r="I10" s="10" t="s">
        <v>1809</v>
      </c>
      <c r="J10" s="10">
        <v>12983.829999999998</v>
      </c>
      <c r="K10" t="s">
        <v>1812</v>
      </c>
      <c r="L10" t="s">
        <v>1059</v>
      </c>
      <c r="M10" t="s">
        <v>1846</v>
      </c>
      <c r="N10" t="s">
        <v>1811</v>
      </c>
    </row>
    <row r="11" spans="1:14" x14ac:dyDescent="0.25">
      <c r="A11" s="1" t="s">
        <v>1808</v>
      </c>
      <c r="B11" s="8">
        <v>0.56111111111111112</v>
      </c>
      <c r="C11" t="s">
        <v>1635</v>
      </c>
      <c r="D11" s="1" t="s">
        <v>1924</v>
      </c>
      <c r="E11" t="s">
        <v>1661</v>
      </c>
      <c r="F11" s="1" t="s">
        <v>1662</v>
      </c>
      <c r="G11" s="10">
        <v>58640.46</v>
      </c>
      <c r="H11" s="10">
        <v>-6886</v>
      </c>
      <c r="I11" s="10" t="s">
        <v>1809</v>
      </c>
      <c r="J11" s="10">
        <v>35916.660000000003</v>
      </c>
      <c r="K11" t="s">
        <v>1812</v>
      </c>
      <c r="L11" t="s">
        <v>1488</v>
      </c>
      <c r="M11" t="s">
        <v>1849</v>
      </c>
      <c r="N11" t="s">
        <v>1811</v>
      </c>
    </row>
    <row r="12" spans="1:14" x14ac:dyDescent="0.25">
      <c r="A12" s="1" t="s">
        <v>1808</v>
      </c>
      <c r="B12" s="8">
        <v>0.56111111111111112</v>
      </c>
      <c r="C12" t="s">
        <v>1635</v>
      </c>
      <c r="D12" s="1" t="s">
        <v>1926</v>
      </c>
      <c r="E12" t="s">
        <v>1665</v>
      </c>
      <c r="F12" s="1" t="s">
        <v>1666</v>
      </c>
      <c r="G12" s="10">
        <v>22188.5</v>
      </c>
      <c r="H12" s="10">
        <v>-1472</v>
      </c>
      <c r="I12" s="10" t="s">
        <v>1809</v>
      </c>
      <c r="J12" s="10">
        <v>17330.900000000001</v>
      </c>
      <c r="K12" t="s">
        <v>1812</v>
      </c>
      <c r="L12" t="s">
        <v>1492</v>
      </c>
      <c r="M12" t="s">
        <v>1851</v>
      </c>
      <c r="N12" t="s">
        <v>1811</v>
      </c>
    </row>
    <row r="13" spans="1:14" x14ac:dyDescent="0.25">
      <c r="A13" s="1" t="s">
        <v>1808</v>
      </c>
      <c r="B13" s="8">
        <v>0.56319444444444444</v>
      </c>
      <c r="C13" t="s">
        <v>1635</v>
      </c>
      <c r="D13" s="1" t="s">
        <v>1930</v>
      </c>
      <c r="E13" t="s">
        <v>1677</v>
      </c>
      <c r="F13" s="1" t="s">
        <v>1678</v>
      </c>
      <c r="G13" s="10">
        <v>-33408.32</v>
      </c>
      <c r="H13" s="10">
        <v>14625</v>
      </c>
      <c r="I13" s="10" t="s">
        <v>1809</v>
      </c>
      <c r="J13" s="10">
        <v>14854.18</v>
      </c>
      <c r="K13" t="s">
        <v>1812</v>
      </c>
      <c r="L13" t="s">
        <v>77</v>
      </c>
      <c r="M13" t="s">
        <v>1855</v>
      </c>
      <c r="N13" t="s">
        <v>1811</v>
      </c>
    </row>
    <row r="14" spans="1:14" x14ac:dyDescent="0.25">
      <c r="A14" s="1" t="s">
        <v>1808</v>
      </c>
      <c r="B14" s="8">
        <v>0.56319444444444444</v>
      </c>
      <c r="C14" t="s">
        <v>1635</v>
      </c>
      <c r="D14" s="1" t="s">
        <v>1931</v>
      </c>
      <c r="E14" t="s">
        <v>1680</v>
      </c>
      <c r="F14" s="1">
        <v>3723</v>
      </c>
      <c r="G14" s="10">
        <v>-2680.54</v>
      </c>
      <c r="H14" s="10">
        <v>10501</v>
      </c>
      <c r="I14" s="10" t="s">
        <v>1809</v>
      </c>
      <c r="J14" s="10">
        <v>31972.759999999995</v>
      </c>
      <c r="K14" t="s">
        <v>1812</v>
      </c>
      <c r="L14" t="s">
        <v>199</v>
      </c>
      <c r="M14" t="s">
        <v>1856</v>
      </c>
      <c r="N14" t="s">
        <v>1811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"/>
  <sheetViews>
    <sheetView topLeftCell="E1" workbookViewId="0">
      <selection activeCell="A5" sqref="A5:XFD5"/>
    </sheetView>
  </sheetViews>
  <sheetFormatPr baseColWidth="10" defaultRowHeight="15" x14ac:dyDescent="0.25"/>
  <cols>
    <col min="1" max="1" width="10.7109375" bestFit="1" customWidth="1"/>
    <col min="2" max="2" width="6.140625" bestFit="1" customWidth="1"/>
    <col min="3" max="3" width="13" bestFit="1" customWidth="1"/>
    <col min="4" max="4" width="8.28515625" bestFit="1" customWidth="1"/>
    <col min="5" max="5" width="30.7109375" bestFit="1" customWidth="1"/>
    <col min="6" max="6" width="10.140625" bestFit="1" customWidth="1"/>
    <col min="7" max="7" width="10.85546875" bestFit="1" customWidth="1"/>
    <col min="8" max="8" width="9.140625" bestFit="1" customWidth="1"/>
    <col min="9" max="9" width="9.5703125" bestFit="1" customWidth="1"/>
    <col min="10" max="10" width="12.85546875" bestFit="1" customWidth="1"/>
    <col min="11" max="11" width="16.7109375" bestFit="1" customWidth="1"/>
    <col min="12" max="12" width="40.42578125" bestFit="1" customWidth="1"/>
    <col min="13" max="13" width="61" bestFit="1" customWidth="1"/>
    <col min="14" max="14" width="13.7109375" customWidth="1"/>
  </cols>
  <sheetData>
    <row r="1" spans="1:14" x14ac:dyDescent="0.25">
      <c r="A1" s="5" t="s">
        <v>1498</v>
      </c>
      <c r="B1" s="5" t="s">
        <v>1499</v>
      </c>
      <c r="C1" s="5" t="s">
        <v>1500</v>
      </c>
      <c r="D1" s="5" t="s">
        <v>1501</v>
      </c>
      <c r="E1" s="5" t="s">
        <v>1502</v>
      </c>
      <c r="F1" s="5" t="s">
        <v>1503</v>
      </c>
      <c r="G1" s="5" t="s">
        <v>1504</v>
      </c>
      <c r="H1" s="5" t="s">
        <v>1505</v>
      </c>
      <c r="I1" s="5" t="s">
        <v>1506</v>
      </c>
      <c r="J1" s="5" t="s">
        <v>1507</v>
      </c>
      <c r="K1" s="5" t="s">
        <v>1508</v>
      </c>
      <c r="L1" s="5" t="s">
        <v>1509</v>
      </c>
      <c r="M1" s="5" t="s">
        <v>1510</v>
      </c>
      <c r="N1" s="5" t="s">
        <v>1803</v>
      </c>
    </row>
    <row r="2" spans="1:14" x14ac:dyDescent="0.25">
      <c r="A2" s="1" t="s">
        <v>1808</v>
      </c>
      <c r="B2" s="8">
        <v>0.55347222222222225</v>
      </c>
      <c r="C2" t="s">
        <v>1511</v>
      </c>
      <c r="D2" s="1" t="s">
        <v>1898</v>
      </c>
      <c r="E2" t="s">
        <v>1553</v>
      </c>
      <c r="F2" s="1" t="s">
        <v>1557</v>
      </c>
      <c r="G2" s="10">
        <v>170637.96</v>
      </c>
      <c r="H2" s="10">
        <v>10025</v>
      </c>
      <c r="I2" s="10" t="s">
        <v>1809</v>
      </c>
      <c r="J2" s="10">
        <v>203720.46</v>
      </c>
      <c r="K2" t="s">
        <v>1813</v>
      </c>
      <c r="L2" t="s">
        <v>383</v>
      </c>
      <c r="M2" t="s">
        <v>1823</v>
      </c>
      <c r="N2" t="s">
        <v>1811</v>
      </c>
    </row>
    <row r="3" spans="1:14" x14ac:dyDescent="0.25">
      <c r="A3" s="1" t="s">
        <v>1808</v>
      </c>
      <c r="B3" s="8">
        <v>0.55555555555555558</v>
      </c>
      <c r="C3" t="s">
        <v>1511</v>
      </c>
      <c r="D3" s="1" t="s">
        <v>1904</v>
      </c>
      <c r="E3" t="s">
        <v>1580</v>
      </c>
      <c r="F3" s="1" t="s">
        <v>1583</v>
      </c>
      <c r="G3" s="10">
        <v>186202.23</v>
      </c>
      <c r="H3" s="10">
        <v>1142</v>
      </c>
      <c r="I3" s="10" t="s">
        <v>1809</v>
      </c>
      <c r="J3" s="10">
        <v>189970.83000000002</v>
      </c>
      <c r="K3" t="s">
        <v>1813</v>
      </c>
      <c r="L3" t="s">
        <v>1172</v>
      </c>
      <c r="M3" t="s">
        <v>1829</v>
      </c>
      <c r="N3" t="s">
        <v>1811</v>
      </c>
    </row>
    <row r="4" spans="1:14" x14ac:dyDescent="0.25">
      <c r="A4" s="1" t="s">
        <v>1808</v>
      </c>
      <c r="B4" s="8">
        <v>0.55902777777777779</v>
      </c>
      <c r="C4" t="s">
        <v>1511</v>
      </c>
      <c r="D4" s="1" t="s">
        <v>1917</v>
      </c>
      <c r="E4" t="s">
        <v>1626</v>
      </c>
      <c r="F4" s="1" t="s">
        <v>1629</v>
      </c>
      <c r="G4" s="10">
        <v>177181.75</v>
      </c>
      <c r="H4" s="10">
        <v>21019</v>
      </c>
      <c r="I4" s="10" t="s">
        <v>1809</v>
      </c>
      <c r="J4" s="10">
        <v>246544.45</v>
      </c>
      <c r="K4" t="s">
        <v>1813</v>
      </c>
      <c r="L4" t="s">
        <v>359</v>
      </c>
      <c r="M4" t="s">
        <v>1842</v>
      </c>
      <c r="N4" t="s">
        <v>1811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1"/>
  <sheetViews>
    <sheetView tabSelected="1" workbookViewId="0">
      <selection activeCell="A2" sqref="A2:XFD2"/>
    </sheetView>
  </sheetViews>
  <sheetFormatPr baseColWidth="10" defaultRowHeight="15" x14ac:dyDescent="0.25"/>
  <cols>
    <col min="1" max="1" width="10.7109375" bestFit="1" customWidth="1"/>
    <col min="2" max="2" width="6.140625" bestFit="1" customWidth="1"/>
    <col min="3" max="3" width="13" bestFit="1" customWidth="1"/>
    <col min="4" max="4" width="8.28515625" bestFit="1" customWidth="1"/>
    <col min="5" max="5" width="30.7109375" bestFit="1" customWidth="1"/>
    <col min="6" max="6" width="10.140625" bestFit="1" customWidth="1"/>
    <col min="7" max="7" width="10.85546875" bestFit="1" customWidth="1"/>
    <col min="8" max="9" width="9.5703125" bestFit="1" customWidth="1"/>
    <col min="10" max="10" width="12.85546875" bestFit="1" customWidth="1"/>
    <col min="11" max="11" width="16.7109375" bestFit="1" customWidth="1"/>
    <col min="12" max="12" width="46.5703125" bestFit="1" customWidth="1"/>
    <col min="13" max="13" width="61.42578125" bestFit="1" customWidth="1"/>
    <col min="14" max="14" width="13.7109375" customWidth="1"/>
  </cols>
  <sheetData>
    <row r="1" spans="1:14" x14ac:dyDescent="0.25">
      <c r="A1" s="5" t="s">
        <v>1498</v>
      </c>
      <c r="B1" s="5" t="s">
        <v>1499</v>
      </c>
      <c r="C1" s="5" t="s">
        <v>1500</v>
      </c>
      <c r="D1" s="5" t="s">
        <v>1501</v>
      </c>
      <c r="E1" s="5" t="s">
        <v>1502</v>
      </c>
      <c r="F1" s="5" t="s">
        <v>1503</v>
      </c>
      <c r="G1" s="5" t="s">
        <v>1504</v>
      </c>
      <c r="H1" s="5" t="s">
        <v>1505</v>
      </c>
      <c r="I1" s="5" t="s">
        <v>1506</v>
      </c>
      <c r="J1" s="5" t="s">
        <v>1507</v>
      </c>
      <c r="K1" s="5" t="s">
        <v>1508</v>
      </c>
      <c r="L1" s="5" t="s">
        <v>1509</v>
      </c>
      <c r="M1" s="5" t="s">
        <v>1510</v>
      </c>
      <c r="N1" s="5" t="s">
        <v>1803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M355"/>
  <sheetViews>
    <sheetView topLeftCell="H184" workbookViewId="0">
      <selection activeCell="I349" sqref="I349"/>
    </sheetView>
  </sheetViews>
  <sheetFormatPr baseColWidth="10" defaultColWidth="9.140625" defaultRowHeight="15" x14ac:dyDescent="0.25"/>
  <cols>
    <col min="1" max="1" width="12.140625" style="1" bestFit="1" customWidth="1"/>
    <col min="2" max="2" width="15.140625" style="1" bestFit="1" customWidth="1"/>
    <col min="3" max="3" width="46.140625" bestFit="1" customWidth="1"/>
    <col min="4" max="4" width="40.7109375" bestFit="1" customWidth="1"/>
    <col min="5" max="5" width="23.140625" bestFit="1" customWidth="1"/>
    <col min="6" max="6" width="10.5703125" bestFit="1" customWidth="1"/>
    <col min="7" max="7" width="30.42578125" bestFit="1" customWidth="1"/>
    <col min="8" max="8" width="34.85546875" bestFit="1" customWidth="1"/>
    <col min="9" max="9" width="8.28515625" bestFit="1" customWidth="1"/>
    <col min="10" max="10" width="47.7109375" bestFit="1" customWidth="1"/>
    <col min="11" max="11" width="37.7109375" bestFit="1" customWidth="1"/>
    <col min="12" max="12" width="30.140625" bestFit="1" customWidth="1"/>
    <col min="13" max="13" width="67.85546875" bestFit="1" customWidth="1"/>
  </cols>
  <sheetData>
    <row r="1" spans="1:13" x14ac:dyDescent="0.25">
      <c r="A1" s="2" t="s">
        <v>0</v>
      </c>
      <c r="B1" s="2" t="s">
        <v>1</v>
      </c>
      <c r="C1" s="3" t="s">
        <v>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4" t="s">
        <v>10</v>
      </c>
      <c r="M1" s="4" t="s">
        <v>11</v>
      </c>
    </row>
    <row r="2" spans="1:13" hidden="1" x14ac:dyDescent="0.25">
      <c r="A2" s="1">
        <v>650</v>
      </c>
      <c r="B2" s="1">
        <v>650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s="6" t="s">
        <v>1804</v>
      </c>
      <c r="M2" t="str">
        <f>CONCATENATE(K2,",",L2)</f>
        <v>GEGUILUZ@BBVA.COM,monitoreocgr1.pe@bbva.com</v>
      </c>
    </row>
    <row r="3" spans="1:13" hidden="1" x14ac:dyDescent="0.25">
      <c r="A3" s="1">
        <v>668</v>
      </c>
      <c r="B3" s="1">
        <v>668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 s="6" t="s">
        <v>1804</v>
      </c>
      <c r="M3" t="str">
        <f t="shared" ref="M3:M66" si="0">CONCATENATE(K3,",",L3)</f>
        <v>LCAMPOS@BBVA.COM,monitoreocgr1.pe@bbva.com</v>
      </c>
    </row>
    <row r="4" spans="1:13" hidden="1" x14ac:dyDescent="0.25">
      <c r="A4" s="1">
        <v>347</v>
      </c>
      <c r="B4" s="1">
        <v>347</v>
      </c>
      <c r="C4" t="s">
        <v>30</v>
      </c>
      <c r="D4" t="s">
        <v>31</v>
      </c>
      <c r="E4" t="s">
        <v>32</v>
      </c>
      <c r="F4" t="s">
        <v>33</v>
      </c>
      <c r="G4" t="s">
        <v>34</v>
      </c>
      <c r="H4" t="s">
        <v>35</v>
      </c>
      <c r="I4" t="s">
        <v>36</v>
      </c>
      <c r="J4" t="s">
        <v>37</v>
      </c>
      <c r="K4" t="s">
        <v>38</v>
      </c>
      <c r="L4" s="6" t="s">
        <v>1804</v>
      </c>
      <c r="M4" t="str">
        <f t="shared" si="0"/>
        <v>MSEMINARIO@BBVA.COM,monitoreocgr1.pe@bbva.com</v>
      </c>
    </row>
    <row r="5" spans="1:13" hidden="1" x14ac:dyDescent="0.25">
      <c r="A5" s="1">
        <v>221</v>
      </c>
      <c r="B5" s="1">
        <v>221</v>
      </c>
      <c r="C5" t="s">
        <v>39</v>
      </c>
      <c r="D5" t="s">
        <v>40</v>
      </c>
      <c r="E5" t="s">
        <v>41</v>
      </c>
      <c r="F5" t="s">
        <v>24</v>
      </c>
      <c r="G5" t="s">
        <v>25</v>
      </c>
      <c r="H5" t="s">
        <v>26</v>
      </c>
      <c r="I5" t="s">
        <v>42</v>
      </c>
      <c r="J5" t="s">
        <v>43</v>
      </c>
      <c r="K5" t="s">
        <v>44</v>
      </c>
      <c r="L5" s="6" t="s">
        <v>1804</v>
      </c>
      <c r="M5" t="str">
        <f t="shared" si="0"/>
        <v>JGRODRIGUEZ@BBVA.COM,monitoreocgr1.pe@bbva.com</v>
      </c>
    </row>
    <row r="6" spans="1:13" hidden="1" x14ac:dyDescent="0.25">
      <c r="A6" s="1">
        <v>192</v>
      </c>
      <c r="B6" s="1">
        <v>192</v>
      </c>
      <c r="C6" t="s">
        <v>45</v>
      </c>
      <c r="D6" t="s">
        <v>46</v>
      </c>
      <c r="E6" t="s">
        <v>47</v>
      </c>
      <c r="F6" t="s">
        <v>24</v>
      </c>
      <c r="G6" t="s">
        <v>25</v>
      </c>
      <c r="H6" t="s">
        <v>26</v>
      </c>
      <c r="I6" t="s">
        <v>48</v>
      </c>
      <c r="J6" t="s">
        <v>49</v>
      </c>
      <c r="K6" t="s">
        <v>50</v>
      </c>
      <c r="L6" s="6" t="s">
        <v>1804</v>
      </c>
      <c r="M6" t="str">
        <f t="shared" si="0"/>
        <v>CARIAS@BBVA.COM,monitoreocgr1.pe@bbva.com</v>
      </c>
    </row>
    <row r="7" spans="1:13" hidden="1" x14ac:dyDescent="0.25">
      <c r="A7" s="1">
        <v>645</v>
      </c>
      <c r="B7" s="1">
        <v>645</v>
      </c>
      <c r="C7" t="s">
        <v>51</v>
      </c>
      <c r="D7" t="s">
        <v>46</v>
      </c>
      <c r="E7" t="s">
        <v>23</v>
      </c>
      <c r="F7" t="s">
        <v>52</v>
      </c>
      <c r="G7" t="s">
        <v>53</v>
      </c>
      <c r="H7" t="s">
        <v>26</v>
      </c>
      <c r="I7" t="s">
        <v>54</v>
      </c>
      <c r="J7" t="s">
        <v>55</v>
      </c>
      <c r="K7" t="s">
        <v>56</v>
      </c>
      <c r="L7" s="6" t="s">
        <v>1804</v>
      </c>
      <c r="M7" t="str">
        <f t="shared" si="0"/>
        <v>GALVARADOL@BBVA.COM,monitoreocgr1.pe@bbva.com</v>
      </c>
    </row>
    <row r="8" spans="1:13" hidden="1" x14ac:dyDescent="0.25">
      <c r="A8" s="1" t="s">
        <v>57</v>
      </c>
      <c r="B8" s="1">
        <v>6016</v>
      </c>
      <c r="C8" t="s">
        <v>58</v>
      </c>
      <c r="D8" t="s">
        <v>59</v>
      </c>
      <c r="E8" t="s">
        <v>60</v>
      </c>
      <c r="F8" t="s">
        <v>24</v>
      </c>
      <c r="G8" t="s">
        <v>25</v>
      </c>
      <c r="H8" t="s">
        <v>61</v>
      </c>
      <c r="I8" t="s">
        <v>62</v>
      </c>
      <c r="J8" t="s">
        <v>63</v>
      </c>
      <c r="K8" t="s">
        <v>64</v>
      </c>
      <c r="L8" s="6" t="s">
        <v>1804</v>
      </c>
      <c r="M8" t="str">
        <f t="shared" si="0"/>
        <v>MRAMIREZ@BBVA.COM,monitoreocgr1.pe@bbva.com</v>
      </c>
    </row>
    <row r="9" spans="1:13" hidden="1" x14ac:dyDescent="0.25">
      <c r="A9" s="1">
        <v>381</v>
      </c>
      <c r="B9" s="1">
        <v>381</v>
      </c>
      <c r="C9" t="s">
        <v>65</v>
      </c>
      <c r="D9" t="s">
        <v>46</v>
      </c>
      <c r="E9" t="s">
        <v>47</v>
      </c>
      <c r="F9" t="s">
        <v>24</v>
      </c>
      <c r="G9" t="s">
        <v>25</v>
      </c>
      <c r="H9" t="s">
        <v>26</v>
      </c>
      <c r="I9" t="s">
        <v>66</v>
      </c>
      <c r="J9" t="s">
        <v>67</v>
      </c>
      <c r="K9" t="s">
        <v>68</v>
      </c>
      <c r="L9" s="6" t="s">
        <v>1804</v>
      </c>
      <c r="M9" t="str">
        <f t="shared" si="0"/>
        <v>JMLOPEZ@BBVA.COM,monitoreocgr1.pe@bbva.com</v>
      </c>
    </row>
    <row r="10" spans="1:13" x14ac:dyDescent="0.25">
      <c r="A10" s="1">
        <v>144</v>
      </c>
      <c r="B10" s="1">
        <v>144</v>
      </c>
      <c r="C10" t="s">
        <v>69</v>
      </c>
      <c r="D10" t="s">
        <v>70</v>
      </c>
      <c r="E10" t="s">
        <v>71</v>
      </c>
      <c r="F10" t="s">
        <v>24</v>
      </c>
      <c r="G10" t="s">
        <v>25</v>
      </c>
      <c r="H10" t="s">
        <v>26</v>
      </c>
      <c r="I10" t="s">
        <v>72</v>
      </c>
      <c r="J10" t="s">
        <v>73</v>
      </c>
      <c r="K10" t="s">
        <v>74</v>
      </c>
      <c r="L10" s="6" t="s">
        <v>1804</v>
      </c>
      <c r="M10" t="str">
        <f t="shared" si="0"/>
        <v>cristhian.tineo@bbva.com,monitoreocgr1.pe@bbva.com</v>
      </c>
    </row>
    <row r="11" spans="1:13" x14ac:dyDescent="0.25">
      <c r="A11" s="1">
        <v>126</v>
      </c>
      <c r="B11" s="1">
        <v>126</v>
      </c>
      <c r="C11" t="s">
        <v>75</v>
      </c>
      <c r="D11" t="s">
        <v>70</v>
      </c>
      <c r="E11" t="s">
        <v>71</v>
      </c>
      <c r="F11" t="s">
        <v>24</v>
      </c>
      <c r="G11" t="s">
        <v>25</v>
      </c>
      <c r="H11" t="s">
        <v>26</v>
      </c>
      <c r="I11" t="s">
        <v>76</v>
      </c>
      <c r="J11" t="s">
        <v>77</v>
      </c>
      <c r="K11" t="s">
        <v>78</v>
      </c>
      <c r="L11" s="6" t="s">
        <v>1804</v>
      </c>
      <c r="M11" t="str">
        <f t="shared" si="0"/>
        <v>FTREMOLADA@BBVA.COM,monitoreocgr1.pe@bbva.com</v>
      </c>
    </row>
    <row r="12" spans="1:13" hidden="1" x14ac:dyDescent="0.25">
      <c r="A12" s="1">
        <v>307</v>
      </c>
      <c r="B12" s="1">
        <v>307</v>
      </c>
      <c r="C12" t="s">
        <v>79</v>
      </c>
      <c r="D12" t="s">
        <v>80</v>
      </c>
      <c r="E12" t="s">
        <v>81</v>
      </c>
      <c r="F12" t="s">
        <v>33</v>
      </c>
      <c r="G12" t="s">
        <v>34</v>
      </c>
      <c r="H12" t="s">
        <v>35</v>
      </c>
      <c r="I12" t="s">
        <v>82</v>
      </c>
      <c r="J12" t="s">
        <v>83</v>
      </c>
      <c r="K12" t="s">
        <v>84</v>
      </c>
      <c r="L12" s="6" t="s">
        <v>1804</v>
      </c>
      <c r="M12" t="str">
        <f t="shared" si="0"/>
        <v>AOTINIANO@BBVA.COM,monitoreocgr1.pe@bbva.com</v>
      </c>
    </row>
    <row r="13" spans="1:13" hidden="1" x14ac:dyDescent="0.25">
      <c r="A13" s="1">
        <v>397</v>
      </c>
      <c r="B13" s="1">
        <v>397</v>
      </c>
      <c r="C13" t="s">
        <v>85</v>
      </c>
      <c r="D13" t="s">
        <v>80</v>
      </c>
      <c r="E13" t="s">
        <v>81</v>
      </c>
      <c r="F13" t="s">
        <v>33</v>
      </c>
      <c r="G13" t="s">
        <v>34</v>
      </c>
      <c r="H13" t="s">
        <v>35</v>
      </c>
      <c r="I13" t="s">
        <v>86</v>
      </c>
      <c r="J13" t="s">
        <v>87</v>
      </c>
      <c r="K13" t="s">
        <v>88</v>
      </c>
      <c r="L13" s="6" t="s">
        <v>1804</v>
      </c>
      <c r="M13" t="str">
        <f t="shared" si="0"/>
        <v>CESOLIS@BBVA.COM,monitoreocgr1.pe@bbva.com</v>
      </c>
    </row>
    <row r="14" spans="1:13" hidden="1" x14ac:dyDescent="0.25">
      <c r="A14" s="1">
        <v>378</v>
      </c>
      <c r="B14" s="1">
        <v>378</v>
      </c>
      <c r="C14" t="s">
        <v>89</v>
      </c>
      <c r="D14" t="s">
        <v>80</v>
      </c>
      <c r="E14" t="s">
        <v>81</v>
      </c>
      <c r="F14" t="s">
        <v>33</v>
      </c>
      <c r="G14" t="s">
        <v>34</v>
      </c>
      <c r="H14" t="s">
        <v>35</v>
      </c>
      <c r="I14" t="s">
        <v>90</v>
      </c>
      <c r="J14" t="s">
        <v>91</v>
      </c>
      <c r="K14" t="s">
        <v>92</v>
      </c>
      <c r="L14" s="6" t="s">
        <v>1804</v>
      </c>
      <c r="M14" t="str">
        <f t="shared" si="0"/>
        <v>CGALARRETA@BBVA.COM,monitoreocgr1.pe@bbva.com</v>
      </c>
    </row>
    <row r="15" spans="1:13" hidden="1" x14ac:dyDescent="0.25">
      <c r="A15" s="1">
        <v>372</v>
      </c>
      <c r="B15" s="1">
        <v>372</v>
      </c>
      <c r="C15" t="s">
        <v>93</v>
      </c>
      <c r="D15" t="s">
        <v>94</v>
      </c>
      <c r="E15" t="s">
        <v>95</v>
      </c>
      <c r="F15" t="s">
        <v>24</v>
      </c>
      <c r="G15" t="s">
        <v>25</v>
      </c>
      <c r="H15" t="s">
        <v>26</v>
      </c>
      <c r="I15" t="s">
        <v>96</v>
      </c>
      <c r="J15" t="s">
        <v>97</v>
      </c>
      <c r="K15" t="s">
        <v>98</v>
      </c>
      <c r="L15" s="6" t="s">
        <v>1804</v>
      </c>
      <c r="M15" t="str">
        <f t="shared" si="0"/>
        <v>YPURICHINI@BBVA.COM,monitoreocgr1.pe@bbva.com</v>
      </c>
    </row>
    <row r="16" spans="1:13" hidden="1" x14ac:dyDescent="0.25">
      <c r="A16" s="1">
        <v>370</v>
      </c>
      <c r="B16" s="1">
        <v>370</v>
      </c>
      <c r="C16" t="s">
        <v>99</v>
      </c>
      <c r="D16" t="s">
        <v>94</v>
      </c>
      <c r="E16" t="s">
        <v>95</v>
      </c>
      <c r="F16" t="s">
        <v>24</v>
      </c>
      <c r="G16" t="s">
        <v>25</v>
      </c>
      <c r="H16" t="s">
        <v>26</v>
      </c>
      <c r="I16" t="s">
        <v>100</v>
      </c>
      <c r="J16" t="s">
        <v>101</v>
      </c>
      <c r="K16" t="s">
        <v>102</v>
      </c>
      <c r="L16" s="6" t="s">
        <v>1804</v>
      </c>
      <c r="M16" t="str">
        <f t="shared" si="0"/>
        <v>FCHIRINOS@BBVA.COM,monitoreocgr1.pe@bbva.com</v>
      </c>
    </row>
    <row r="17" spans="1:13" hidden="1" x14ac:dyDescent="0.25">
      <c r="A17" s="1">
        <v>335</v>
      </c>
      <c r="B17" s="1">
        <v>335</v>
      </c>
      <c r="C17" t="s">
        <v>103</v>
      </c>
      <c r="D17" t="s">
        <v>94</v>
      </c>
      <c r="E17" t="s">
        <v>95</v>
      </c>
      <c r="F17" t="s">
        <v>24</v>
      </c>
      <c r="G17" t="s">
        <v>25</v>
      </c>
      <c r="H17" t="s">
        <v>26</v>
      </c>
      <c r="I17" t="s">
        <v>104</v>
      </c>
      <c r="J17" t="s">
        <v>105</v>
      </c>
      <c r="K17" t="s">
        <v>106</v>
      </c>
      <c r="L17" s="6" t="s">
        <v>1804</v>
      </c>
      <c r="M17" t="str">
        <f t="shared" si="0"/>
        <v>MMORAL@BBVA.COM,monitoreocgr1.pe@bbva.com</v>
      </c>
    </row>
    <row r="18" spans="1:13" hidden="1" x14ac:dyDescent="0.25">
      <c r="A18" s="1">
        <v>908</v>
      </c>
      <c r="B18" s="1">
        <v>908</v>
      </c>
      <c r="C18" t="s">
        <v>107</v>
      </c>
      <c r="D18" t="s">
        <v>40</v>
      </c>
      <c r="E18" t="s">
        <v>41</v>
      </c>
      <c r="F18" t="s">
        <v>24</v>
      </c>
      <c r="G18" t="s">
        <v>25</v>
      </c>
      <c r="H18" t="s">
        <v>26</v>
      </c>
      <c r="I18" t="s">
        <v>108</v>
      </c>
      <c r="J18" t="s">
        <v>109</v>
      </c>
      <c r="K18" t="s">
        <v>110</v>
      </c>
      <c r="L18" s="6" t="s">
        <v>1804</v>
      </c>
      <c r="M18" t="str">
        <f t="shared" si="0"/>
        <v>LUISANTONIO.RODRIGUEZ@BBVA.COM,monitoreocgr1.pe@bbva.com</v>
      </c>
    </row>
    <row r="19" spans="1:13" hidden="1" x14ac:dyDescent="0.25">
      <c r="A19" s="1">
        <v>333</v>
      </c>
      <c r="B19" s="1">
        <v>333</v>
      </c>
      <c r="C19" t="s">
        <v>111</v>
      </c>
      <c r="D19" t="s">
        <v>112</v>
      </c>
      <c r="E19" t="s">
        <v>113</v>
      </c>
      <c r="F19" t="s">
        <v>24</v>
      </c>
      <c r="G19" t="s">
        <v>25</v>
      </c>
      <c r="H19" t="s">
        <v>26</v>
      </c>
      <c r="I19" t="s">
        <v>114</v>
      </c>
      <c r="J19" t="s">
        <v>115</v>
      </c>
      <c r="K19" t="s">
        <v>116</v>
      </c>
      <c r="L19" s="6" t="s">
        <v>1804</v>
      </c>
      <c r="M19" t="str">
        <f t="shared" si="0"/>
        <v>VZARATE@BBVA.COM,monitoreocgr1.pe@bbva.com</v>
      </c>
    </row>
    <row r="20" spans="1:13" hidden="1" x14ac:dyDescent="0.25">
      <c r="A20" s="1">
        <v>119</v>
      </c>
      <c r="B20" s="1">
        <v>119</v>
      </c>
      <c r="C20" t="s">
        <v>117</v>
      </c>
      <c r="D20" t="s">
        <v>112</v>
      </c>
      <c r="E20" t="s">
        <v>113</v>
      </c>
      <c r="F20" t="s">
        <v>24</v>
      </c>
      <c r="G20" t="s">
        <v>25</v>
      </c>
      <c r="H20" t="s">
        <v>26</v>
      </c>
      <c r="I20" t="s">
        <v>118</v>
      </c>
      <c r="J20" t="s">
        <v>119</v>
      </c>
      <c r="K20" t="s">
        <v>120</v>
      </c>
      <c r="L20" s="6" t="s">
        <v>1804</v>
      </c>
      <c r="M20" t="str">
        <f t="shared" si="0"/>
        <v>NVADILLO@BBVA.COM,monitoreocgr1.pe@bbva.com</v>
      </c>
    </row>
    <row r="21" spans="1:13" hidden="1" x14ac:dyDescent="0.25">
      <c r="A21" s="1">
        <v>122</v>
      </c>
      <c r="B21" s="1">
        <v>122</v>
      </c>
      <c r="C21" t="s">
        <v>121</v>
      </c>
      <c r="D21" t="s">
        <v>122</v>
      </c>
      <c r="E21" t="s">
        <v>123</v>
      </c>
      <c r="F21" t="s">
        <v>24</v>
      </c>
      <c r="G21" t="s">
        <v>25</v>
      </c>
      <c r="H21" t="s">
        <v>26</v>
      </c>
      <c r="I21" t="s">
        <v>124</v>
      </c>
      <c r="J21" t="s">
        <v>125</v>
      </c>
      <c r="K21" t="s">
        <v>126</v>
      </c>
      <c r="L21" s="6" t="s">
        <v>1804</v>
      </c>
      <c r="M21" t="str">
        <f t="shared" si="0"/>
        <v>RQUINTO@BBVA.COM,monitoreocgr1.pe@bbva.com</v>
      </c>
    </row>
    <row r="22" spans="1:13" hidden="1" x14ac:dyDescent="0.25">
      <c r="A22" s="1">
        <v>136</v>
      </c>
      <c r="B22" s="1">
        <v>136</v>
      </c>
      <c r="C22" t="s">
        <v>127</v>
      </c>
      <c r="D22" t="s">
        <v>94</v>
      </c>
      <c r="E22" t="s">
        <v>95</v>
      </c>
      <c r="F22" t="s">
        <v>24</v>
      </c>
      <c r="G22" t="s">
        <v>25</v>
      </c>
      <c r="H22" t="s">
        <v>26</v>
      </c>
      <c r="I22" t="s">
        <v>128</v>
      </c>
      <c r="J22" t="s">
        <v>129</v>
      </c>
      <c r="K22" t="s">
        <v>130</v>
      </c>
      <c r="L22" s="6" t="s">
        <v>1804</v>
      </c>
      <c r="M22" t="str">
        <f t="shared" si="0"/>
        <v>FPRIALE@BBVA.COM,monitoreocgr1.pe@bbva.com</v>
      </c>
    </row>
    <row r="23" spans="1:13" hidden="1" x14ac:dyDescent="0.25">
      <c r="A23" s="1">
        <v>792</v>
      </c>
      <c r="B23" s="1">
        <v>792</v>
      </c>
      <c r="C23" t="s">
        <v>131</v>
      </c>
      <c r="D23" t="s">
        <v>112</v>
      </c>
      <c r="E23" t="s">
        <v>113</v>
      </c>
      <c r="F23" t="s">
        <v>24</v>
      </c>
      <c r="G23" t="s">
        <v>25</v>
      </c>
      <c r="H23" t="s">
        <v>26</v>
      </c>
      <c r="I23" t="s">
        <v>132</v>
      </c>
      <c r="J23" t="s">
        <v>133</v>
      </c>
      <c r="K23" t="s">
        <v>134</v>
      </c>
      <c r="L23" s="6" t="s">
        <v>1804</v>
      </c>
      <c r="M23" t="str">
        <f t="shared" si="0"/>
        <v>ICOLOMBATTI@BBVA.COM,monitoreocgr1.pe@bbva.com</v>
      </c>
    </row>
    <row r="24" spans="1:13" hidden="1" x14ac:dyDescent="0.25">
      <c r="A24" s="1">
        <v>168</v>
      </c>
      <c r="B24" s="1">
        <v>168</v>
      </c>
      <c r="C24" t="s">
        <v>135</v>
      </c>
      <c r="D24" t="s">
        <v>46</v>
      </c>
      <c r="E24" t="s">
        <v>47</v>
      </c>
      <c r="F24" t="s">
        <v>24</v>
      </c>
      <c r="G24" t="s">
        <v>25</v>
      </c>
      <c r="H24" t="s">
        <v>26</v>
      </c>
      <c r="I24" t="s">
        <v>136</v>
      </c>
      <c r="J24" t="s">
        <v>137</v>
      </c>
      <c r="K24" t="s">
        <v>138</v>
      </c>
      <c r="L24" s="6" t="s">
        <v>1804</v>
      </c>
      <c r="M24" t="str">
        <f t="shared" si="0"/>
        <v>MASTENGO@BBVA.COM,monitoreocgr1.pe@bbva.com</v>
      </c>
    </row>
    <row r="25" spans="1:13" hidden="1" x14ac:dyDescent="0.25">
      <c r="A25" s="1">
        <v>193</v>
      </c>
      <c r="B25" s="1">
        <v>193</v>
      </c>
      <c r="C25" t="s">
        <v>139</v>
      </c>
      <c r="D25" t="s">
        <v>46</v>
      </c>
      <c r="E25" t="s">
        <v>47</v>
      </c>
      <c r="F25" t="s">
        <v>24</v>
      </c>
      <c r="G25" t="s">
        <v>25</v>
      </c>
      <c r="H25" t="s">
        <v>26</v>
      </c>
      <c r="I25" t="s">
        <v>140</v>
      </c>
      <c r="J25" t="s">
        <v>141</v>
      </c>
      <c r="K25" t="s">
        <v>142</v>
      </c>
      <c r="L25" s="6" t="s">
        <v>1804</v>
      </c>
      <c r="M25" t="str">
        <f t="shared" si="0"/>
        <v>JYENGLE@BBVA.COM,monitoreocgr1.pe@bbva.com</v>
      </c>
    </row>
    <row r="26" spans="1:13" hidden="1" x14ac:dyDescent="0.25">
      <c r="A26" s="1">
        <v>220</v>
      </c>
      <c r="B26" s="1">
        <v>220</v>
      </c>
      <c r="C26" t="s">
        <v>143</v>
      </c>
      <c r="D26" t="s">
        <v>40</v>
      </c>
      <c r="E26" t="s">
        <v>41</v>
      </c>
      <c r="F26" t="s">
        <v>24</v>
      </c>
      <c r="G26" t="s">
        <v>25</v>
      </c>
      <c r="H26" t="s">
        <v>26</v>
      </c>
      <c r="I26" t="s">
        <v>144</v>
      </c>
      <c r="J26" t="s">
        <v>145</v>
      </c>
      <c r="K26" t="s">
        <v>146</v>
      </c>
      <c r="L26" s="6" t="s">
        <v>1804</v>
      </c>
      <c r="M26" t="str">
        <f t="shared" si="0"/>
        <v>JMFERNANDEZ@BBVA.COM,monitoreocgr1.pe@bbva.com</v>
      </c>
    </row>
    <row r="27" spans="1:13" hidden="1" x14ac:dyDescent="0.25">
      <c r="A27" s="1">
        <v>737</v>
      </c>
      <c r="B27" s="1">
        <v>737</v>
      </c>
      <c r="C27" t="s">
        <v>147</v>
      </c>
      <c r="D27" t="s">
        <v>112</v>
      </c>
      <c r="E27" t="s">
        <v>23</v>
      </c>
      <c r="F27" t="s">
        <v>52</v>
      </c>
      <c r="G27" t="s">
        <v>53</v>
      </c>
      <c r="H27" t="s">
        <v>26</v>
      </c>
      <c r="I27" t="s">
        <v>148</v>
      </c>
      <c r="J27" t="s">
        <v>149</v>
      </c>
      <c r="K27" t="s">
        <v>150</v>
      </c>
      <c r="L27" s="6" t="s">
        <v>1804</v>
      </c>
      <c r="M27" t="str">
        <f t="shared" si="0"/>
        <v>RLOAYZA@BBVA.COM,monitoreocgr1.pe@bbva.com</v>
      </c>
    </row>
    <row r="28" spans="1:13" hidden="1" x14ac:dyDescent="0.25">
      <c r="A28" s="1">
        <v>484</v>
      </c>
      <c r="B28" s="1">
        <v>484</v>
      </c>
      <c r="C28" t="s">
        <v>151</v>
      </c>
      <c r="D28" t="s">
        <v>152</v>
      </c>
      <c r="E28" t="s">
        <v>153</v>
      </c>
      <c r="F28" t="s">
        <v>24</v>
      </c>
      <c r="G28" t="s">
        <v>25</v>
      </c>
      <c r="H28" t="s">
        <v>26</v>
      </c>
      <c r="I28" t="s">
        <v>154</v>
      </c>
      <c r="J28" t="s">
        <v>155</v>
      </c>
      <c r="K28" t="s">
        <v>156</v>
      </c>
      <c r="L28" s="6" t="s">
        <v>1804</v>
      </c>
      <c r="M28" t="str">
        <f t="shared" si="0"/>
        <v>CMOLGORA@BBVA.COM,monitoreocgr1.pe@bbva.com</v>
      </c>
    </row>
    <row r="29" spans="1:13" hidden="1" x14ac:dyDescent="0.25">
      <c r="A29" s="1">
        <v>355</v>
      </c>
      <c r="B29" s="1">
        <v>355</v>
      </c>
      <c r="C29" t="s">
        <v>157</v>
      </c>
      <c r="D29" t="s">
        <v>94</v>
      </c>
      <c r="E29" t="s">
        <v>95</v>
      </c>
      <c r="F29" t="s">
        <v>24</v>
      </c>
      <c r="G29" t="s">
        <v>25</v>
      </c>
      <c r="H29" t="s">
        <v>26</v>
      </c>
      <c r="I29" t="s">
        <v>158</v>
      </c>
      <c r="J29" t="s">
        <v>159</v>
      </c>
      <c r="K29" t="s">
        <v>160</v>
      </c>
      <c r="L29" s="6" t="s">
        <v>1804</v>
      </c>
      <c r="M29" t="str">
        <f t="shared" si="0"/>
        <v>RGRANDE@BBVA.COM,monitoreocgr1.pe@bbva.com</v>
      </c>
    </row>
    <row r="30" spans="1:13" hidden="1" x14ac:dyDescent="0.25">
      <c r="A30" s="1">
        <v>336</v>
      </c>
      <c r="B30" s="1">
        <v>336</v>
      </c>
      <c r="C30" t="s">
        <v>161</v>
      </c>
      <c r="D30" t="s">
        <v>46</v>
      </c>
      <c r="E30" t="s">
        <v>47</v>
      </c>
      <c r="F30" t="s">
        <v>24</v>
      </c>
      <c r="G30" t="s">
        <v>25</v>
      </c>
      <c r="H30" t="s">
        <v>26</v>
      </c>
      <c r="I30" t="s">
        <v>162</v>
      </c>
      <c r="J30" t="s">
        <v>163</v>
      </c>
      <c r="K30" t="s">
        <v>164</v>
      </c>
      <c r="L30" s="6" t="s">
        <v>1804</v>
      </c>
      <c r="M30" t="str">
        <f t="shared" si="0"/>
        <v>OLOPEZ@BBVA.COM,monitoreocgr1.pe@bbva.com</v>
      </c>
    </row>
    <row r="31" spans="1:13" hidden="1" x14ac:dyDescent="0.25">
      <c r="A31" s="1">
        <v>385</v>
      </c>
      <c r="B31" s="1">
        <v>385</v>
      </c>
      <c r="C31" t="s">
        <v>165</v>
      </c>
      <c r="D31" t="s">
        <v>122</v>
      </c>
      <c r="E31" t="s">
        <v>123</v>
      </c>
      <c r="F31" t="s">
        <v>24</v>
      </c>
      <c r="G31" t="s">
        <v>25</v>
      </c>
      <c r="H31" t="s">
        <v>26</v>
      </c>
      <c r="I31" t="s">
        <v>166</v>
      </c>
      <c r="J31" t="s">
        <v>167</v>
      </c>
      <c r="K31" t="s">
        <v>168</v>
      </c>
      <c r="L31" s="6" t="s">
        <v>1804</v>
      </c>
      <c r="M31" t="str">
        <f t="shared" si="0"/>
        <v>FTORRES@BBVA.COM,monitoreocgr1.pe@bbva.com</v>
      </c>
    </row>
    <row r="32" spans="1:13" x14ac:dyDescent="0.25">
      <c r="A32" s="1">
        <v>103</v>
      </c>
      <c r="B32" s="1">
        <v>103</v>
      </c>
      <c r="C32" t="s">
        <v>169</v>
      </c>
      <c r="D32" t="s">
        <v>70</v>
      </c>
      <c r="E32" t="s">
        <v>71</v>
      </c>
      <c r="F32" t="s">
        <v>24</v>
      </c>
      <c r="G32" t="s">
        <v>25</v>
      </c>
      <c r="H32" t="s">
        <v>26</v>
      </c>
      <c r="I32" t="s">
        <v>170</v>
      </c>
      <c r="J32" t="s">
        <v>171</v>
      </c>
      <c r="K32" t="s">
        <v>172</v>
      </c>
      <c r="L32" s="6" t="s">
        <v>1804</v>
      </c>
      <c r="M32" t="str">
        <f t="shared" si="0"/>
        <v>BMORALES@BBVA.COM,monitoreocgr1.pe@bbva.com</v>
      </c>
    </row>
    <row r="33" spans="1:13" hidden="1" x14ac:dyDescent="0.25">
      <c r="A33" s="1">
        <v>153</v>
      </c>
      <c r="B33" s="1">
        <v>153</v>
      </c>
      <c r="C33" t="s">
        <v>173</v>
      </c>
      <c r="D33" t="s">
        <v>122</v>
      </c>
      <c r="E33" t="s">
        <v>123</v>
      </c>
      <c r="F33" t="s">
        <v>24</v>
      </c>
      <c r="G33" t="s">
        <v>25</v>
      </c>
      <c r="H33" t="s">
        <v>26</v>
      </c>
      <c r="I33" t="s">
        <v>174</v>
      </c>
      <c r="J33" t="s">
        <v>175</v>
      </c>
      <c r="K33" t="s">
        <v>176</v>
      </c>
      <c r="L33" s="6" t="s">
        <v>1804</v>
      </c>
      <c r="M33" t="str">
        <f t="shared" si="0"/>
        <v>YLOZADA@BBVA.COM,monitoreocgr1.pe@bbva.com</v>
      </c>
    </row>
    <row r="34" spans="1:13" hidden="1" x14ac:dyDescent="0.25">
      <c r="A34" s="1">
        <v>178</v>
      </c>
      <c r="B34" s="1">
        <v>178</v>
      </c>
      <c r="C34" t="s">
        <v>177</v>
      </c>
      <c r="D34" t="s">
        <v>178</v>
      </c>
      <c r="E34" t="s">
        <v>179</v>
      </c>
      <c r="F34" t="s">
        <v>24</v>
      </c>
      <c r="G34" t="s">
        <v>25</v>
      </c>
      <c r="H34" t="s">
        <v>26</v>
      </c>
      <c r="I34" t="s">
        <v>180</v>
      </c>
      <c r="J34" t="s">
        <v>181</v>
      </c>
      <c r="K34" t="s">
        <v>182</v>
      </c>
      <c r="L34" s="6" t="s">
        <v>1804</v>
      </c>
      <c r="M34" t="str">
        <f t="shared" si="0"/>
        <v>RVIGO@BBVA.COM,monitoreocgr1.pe@bbva.com</v>
      </c>
    </row>
    <row r="35" spans="1:13" hidden="1" x14ac:dyDescent="0.25">
      <c r="A35" s="1">
        <v>359</v>
      </c>
      <c r="B35" s="1">
        <v>359</v>
      </c>
      <c r="C35" t="s">
        <v>183</v>
      </c>
      <c r="D35" t="s">
        <v>94</v>
      </c>
      <c r="E35" t="s">
        <v>95</v>
      </c>
      <c r="F35" t="s">
        <v>24</v>
      </c>
      <c r="G35" t="s">
        <v>25</v>
      </c>
      <c r="H35" t="s">
        <v>26</v>
      </c>
      <c r="I35" t="s">
        <v>184</v>
      </c>
      <c r="J35" t="s">
        <v>185</v>
      </c>
      <c r="K35" t="s">
        <v>186</v>
      </c>
      <c r="L35" s="6" t="s">
        <v>1804</v>
      </c>
      <c r="M35" t="str">
        <f t="shared" si="0"/>
        <v>SSERRANO@BBVA.COM,monitoreocgr1.pe@bbva.com</v>
      </c>
    </row>
    <row r="36" spans="1:13" hidden="1" x14ac:dyDescent="0.25">
      <c r="A36" s="1">
        <v>970</v>
      </c>
      <c r="B36" s="1">
        <v>970</v>
      </c>
      <c r="C36" t="s">
        <v>187</v>
      </c>
      <c r="D36" t="s">
        <v>188</v>
      </c>
      <c r="E36" t="s">
        <v>189</v>
      </c>
      <c r="F36" t="s">
        <v>24</v>
      </c>
      <c r="G36" t="s">
        <v>25</v>
      </c>
      <c r="H36" t="s">
        <v>26</v>
      </c>
      <c r="I36" t="s">
        <v>190</v>
      </c>
      <c r="J36" t="s">
        <v>191</v>
      </c>
      <c r="K36" t="s">
        <v>192</v>
      </c>
      <c r="L36" s="6" t="s">
        <v>1804</v>
      </c>
      <c r="M36" t="str">
        <f t="shared" si="0"/>
        <v>CHORNA@BBVA.COM,monitoreocgr1.pe@bbva.com</v>
      </c>
    </row>
    <row r="37" spans="1:13" x14ac:dyDescent="0.25">
      <c r="A37" s="1">
        <v>443</v>
      </c>
      <c r="B37" s="1">
        <v>443</v>
      </c>
      <c r="C37" t="s">
        <v>193</v>
      </c>
      <c r="D37" t="s">
        <v>70</v>
      </c>
      <c r="E37" t="s">
        <v>71</v>
      </c>
      <c r="F37" t="s">
        <v>24</v>
      </c>
      <c r="G37" t="s">
        <v>25</v>
      </c>
      <c r="H37" t="s">
        <v>26</v>
      </c>
      <c r="I37" t="s">
        <v>194</v>
      </c>
      <c r="J37" t="s">
        <v>195</v>
      </c>
      <c r="K37" t="s">
        <v>196</v>
      </c>
      <c r="L37" s="6" t="s">
        <v>1804</v>
      </c>
      <c r="M37" t="str">
        <f t="shared" si="0"/>
        <v>OGARCILAZO@BBVA.COM,monitoreocgr1.pe@bbva.com</v>
      </c>
    </row>
    <row r="38" spans="1:13" x14ac:dyDescent="0.25">
      <c r="A38" s="1">
        <v>115</v>
      </c>
      <c r="B38" s="1">
        <v>115</v>
      </c>
      <c r="C38" t="s">
        <v>197</v>
      </c>
      <c r="D38" t="s">
        <v>70</v>
      </c>
      <c r="E38" t="s">
        <v>71</v>
      </c>
      <c r="F38" t="s">
        <v>24</v>
      </c>
      <c r="G38" t="s">
        <v>25</v>
      </c>
      <c r="H38" t="s">
        <v>26</v>
      </c>
      <c r="I38" t="s">
        <v>198</v>
      </c>
      <c r="J38" t="s">
        <v>199</v>
      </c>
      <c r="K38" t="s">
        <v>200</v>
      </c>
      <c r="L38" s="6" t="s">
        <v>1804</v>
      </c>
      <c r="M38" t="str">
        <f t="shared" si="0"/>
        <v>sara.mendez.altamirano@bbva.com,monitoreocgr1.pe@bbva.com</v>
      </c>
    </row>
    <row r="39" spans="1:13" hidden="1" x14ac:dyDescent="0.25">
      <c r="A39" s="1">
        <v>674</v>
      </c>
      <c r="B39" s="1">
        <v>674</v>
      </c>
      <c r="C39" t="s">
        <v>201</v>
      </c>
      <c r="D39" t="s">
        <v>122</v>
      </c>
      <c r="E39" t="s">
        <v>23</v>
      </c>
      <c r="F39" t="s">
        <v>52</v>
      </c>
      <c r="G39" t="s">
        <v>53</v>
      </c>
      <c r="H39" t="s">
        <v>26</v>
      </c>
      <c r="I39" t="s">
        <v>202</v>
      </c>
      <c r="J39" t="s">
        <v>203</v>
      </c>
      <c r="K39" t="s">
        <v>204</v>
      </c>
      <c r="L39" s="6" t="s">
        <v>1804</v>
      </c>
      <c r="M39" t="str">
        <f t="shared" si="0"/>
        <v>SPILCO@BBVA.COM,monitoreocgr1.pe@bbva.com</v>
      </c>
    </row>
    <row r="40" spans="1:13" hidden="1" x14ac:dyDescent="0.25">
      <c r="A40" s="1">
        <v>183</v>
      </c>
      <c r="B40" s="1">
        <v>183</v>
      </c>
      <c r="C40" t="s">
        <v>205</v>
      </c>
      <c r="D40" t="s">
        <v>152</v>
      </c>
      <c r="E40" t="s">
        <v>153</v>
      </c>
      <c r="F40" t="s">
        <v>24</v>
      </c>
      <c r="G40" t="s">
        <v>25</v>
      </c>
      <c r="H40" t="s">
        <v>26</v>
      </c>
      <c r="I40" t="s">
        <v>206</v>
      </c>
      <c r="J40" t="s">
        <v>207</v>
      </c>
      <c r="K40" t="s">
        <v>208</v>
      </c>
      <c r="L40" s="6" t="s">
        <v>1804</v>
      </c>
      <c r="M40" t="str">
        <f t="shared" si="0"/>
        <v>VMENDIOLA@BBVA.COM,monitoreocgr1.pe@bbva.com</v>
      </c>
    </row>
    <row r="41" spans="1:13" hidden="1" x14ac:dyDescent="0.25">
      <c r="A41" s="1">
        <v>910</v>
      </c>
      <c r="B41" s="1">
        <v>910</v>
      </c>
      <c r="C41" t="s">
        <v>209</v>
      </c>
      <c r="D41" t="s">
        <v>210</v>
      </c>
      <c r="E41" t="s">
        <v>211</v>
      </c>
      <c r="F41" t="s">
        <v>33</v>
      </c>
      <c r="G41" t="s">
        <v>34</v>
      </c>
      <c r="H41" t="s">
        <v>35</v>
      </c>
      <c r="I41" t="s">
        <v>212</v>
      </c>
      <c r="J41" t="s">
        <v>213</v>
      </c>
      <c r="K41" t="s">
        <v>214</v>
      </c>
      <c r="L41" s="6" t="s">
        <v>1804</v>
      </c>
      <c r="M41" t="str">
        <f t="shared" si="0"/>
        <v>MLASTARRIA@BBVA.COM,monitoreocgr1.pe@bbva.com</v>
      </c>
    </row>
    <row r="42" spans="1:13" hidden="1" x14ac:dyDescent="0.25">
      <c r="A42" s="1">
        <v>309</v>
      </c>
      <c r="B42" s="1">
        <v>309</v>
      </c>
      <c r="C42" t="s">
        <v>215</v>
      </c>
      <c r="D42" t="s">
        <v>188</v>
      </c>
      <c r="E42" t="s">
        <v>189</v>
      </c>
      <c r="F42" t="s">
        <v>24</v>
      </c>
      <c r="G42" t="s">
        <v>25</v>
      </c>
      <c r="H42" t="s">
        <v>26</v>
      </c>
      <c r="I42" t="s">
        <v>216</v>
      </c>
      <c r="J42" t="s">
        <v>217</v>
      </c>
      <c r="K42" t="s">
        <v>218</v>
      </c>
      <c r="L42" s="6" t="s">
        <v>1804</v>
      </c>
      <c r="M42" t="str">
        <f t="shared" si="0"/>
        <v>LBARRIOS@BBVA.COM,monitoreocgr1.pe@bbva.com</v>
      </c>
    </row>
    <row r="43" spans="1:13" hidden="1" x14ac:dyDescent="0.25">
      <c r="A43" s="1">
        <v>200</v>
      </c>
      <c r="B43" s="1">
        <v>200</v>
      </c>
      <c r="C43" t="s">
        <v>219</v>
      </c>
      <c r="D43" t="s">
        <v>40</v>
      </c>
      <c r="E43" t="s">
        <v>41</v>
      </c>
      <c r="F43" t="s">
        <v>24</v>
      </c>
      <c r="G43" t="s">
        <v>25</v>
      </c>
      <c r="H43" t="s">
        <v>26</v>
      </c>
      <c r="I43" t="s">
        <v>220</v>
      </c>
      <c r="J43" t="s">
        <v>221</v>
      </c>
      <c r="K43" t="s">
        <v>222</v>
      </c>
      <c r="L43" s="6" t="s">
        <v>1804</v>
      </c>
      <c r="M43" t="str">
        <f t="shared" si="0"/>
        <v>JCARREON@BBVA.COM,monitoreocgr1.pe@bbva.com</v>
      </c>
    </row>
    <row r="44" spans="1:13" hidden="1" x14ac:dyDescent="0.25">
      <c r="A44" s="1">
        <v>231</v>
      </c>
      <c r="B44" s="1">
        <v>231</v>
      </c>
      <c r="C44" t="s">
        <v>223</v>
      </c>
      <c r="D44" t="s">
        <v>40</v>
      </c>
      <c r="E44" t="s">
        <v>41</v>
      </c>
      <c r="F44" t="s">
        <v>24</v>
      </c>
      <c r="G44" t="s">
        <v>25</v>
      </c>
      <c r="H44" t="s">
        <v>26</v>
      </c>
      <c r="I44" t="s">
        <v>224</v>
      </c>
      <c r="J44" t="s">
        <v>225</v>
      </c>
      <c r="K44" t="s">
        <v>226</v>
      </c>
      <c r="L44" s="6" t="s">
        <v>1804</v>
      </c>
      <c r="M44" t="str">
        <f t="shared" si="0"/>
        <v>RZAVALAGA@BBVA.COM,monitoreocgr1.pe@bbva.com</v>
      </c>
    </row>
    <row r="45" spans="1:13" hidden="1" x14ac:dyDescent="0.25">
      <c r="A45" s="1">
        <v>650</v>
      </c>
      <c r="B45" s="1">
        <v>650</v>
      </c>
      <c r="C45" t="s">
        <v>12</v>
      </c>
      <c r="D45" t="s">
        <v>13</v>
      </c>
      <c r="E45" t="s">
        <v>14</v>
      </c>
      <c r="F45" t="s">
        <v>227</v>
      </c>
      <c r="G45" t="s">
        <v>228</v>
      </c>
      <c r="H45" t="s">
        <v>17</v>
      </c>
      <c r="I45" t="s">
        <v>229</v>
      </c>
      <c r="J45" t="s">
        <v>230</v>
      </c>
      <c r="K45" t="s">
        <v>231</v>
      </c>
      <c r="L45" s="6" t="s">
        <v>1804</v>
      </c>
      <c r="M45" t="str">
        <f t="shared" si="0"/>
        <v>SREYESC@BBVA.COM,monitoreocgr1.pe@bbva.com</v>
      </c>
    </row>
    <row r="46" spans="1:13" hidden="1" x14ac:dyDescent="0.25">
      <c r="A46" s="1">
        <v>660</v>
      </c>
      <c r="B46" s="1">
        <v>660</v>
      </c>
      <c r="C46" t="s">
        <v>232</v>
      </c>
      <c r="D46" t="s">
        <v>233</v>
      </c>
      <c r="E46" t="s">
        <v>234</v>
      </c>
      <c r="F46" t="s">
        <v>235</v>
      </c>
      <c r="G46" t="s">
        <v>236</v>
      </c>
      <c r="H46" t="s">
        <v>26</v>
      </c>
      <c r="I46" t="s">
        <v>237</v>
      </c>
      <c r="J46" t="s">
        <v>238</v>
      </c>
      <c r="K46" t="s">
        <v>239</v>
      </c>
      <c r="L46" s="6" t="s">
        <v>1804</v>
      </c>
      <c r="M46" t="str">
        <f t="shared" si="0"/>
        <v>ROLIVA@BBVA.COM,monitoreocgr1.pe@bbva.com</v>
      </c>
    </row>
    <row r="47" spans="1:13" hidden="1" x14ac:dyDescent="0.25">
      <c r="A47" s="1">
        <v>764</v>
      </c>
      <c r="B47" s="1">
        <v>764</v>
      </c>
      <c r="C47" t="s">
        <v>240</v>
      </c>
      <c r="D47" t="s">
        <v>40</v>
      </c>
      <c r="E47" t="s">
        <v>41</v>
      </c>
      <c r="F47" t="s">
        <v>24</v>
      </c>
      <c r="G47" t="s">
        <v>25</v>
      </c>
      <c r="H47" t="s">
        <v>26</v>
      </c>
      <c r="I47" t="s">
        <v>241</v>
      </c>
      <c r="J47" t="s">
        <v>242</v>
      </c>
      <c r="K47" t="s">
        <v>243</v>
      </c>
      <c r="L47" s="6" t="s">
        <v>1804</v>
      </c>
      <c r="M47" t="str">
        <f t="shared" si="0"/>
        <v>MEALARCON@BBVA.COM,monitoreocgr1.pe@bbva.com</v>
      </c>
    </row>
    <row r="48" spans="1:13" hidden="1" x14ac:dyDescent="0.25">
      <c r="A48" s="1">
        <v>235</v>
      </c>
      <c r="B48" s="1">
        <v>235</v>
      </c>
      <c r="C48" t="s">
        <v>244</v>
      </c>
      <c r="D48" t="s">
        <v>152</v>
      </c>
      <c r="E48" t="s">
        <v>153</v>
      </c>
      <c r="F48" t="s">
        <v>24</v>
      </c>
      <c r="G48" t="s">
        <v>25</v>
      </c>
      <c r="H48" t="s">
        <v>26</v>
      </c>
      <c r="I48" t="s">
        <v>245</v>
      </c>
      <c r="J48" t="s">
        <v>246</v>
      </c>
      <c r="K48" t="s">
        <v>247</v>
      </c>
      <c r="L48" s="6" t="s">
        <v>1804</v>
      </c>
      <c r="M48" t="str">
        <f t="shared" si="0"/>
        <v>jsihuay@bbva.com,monitoreocgr1.pe@bbva.com</v>
      </c>
    </row>
    <row r="49" spans="1:13" hidden="1" x14ac:dyDescent="0.25">
      <c r="A49" s="1">
        <v>377</v>
      </c>
      <c r="B49" s="1">
        <v>377</v>
      </c>
      <c r="C49" t="s">
        <v>248</v>
      </c>
      <c r="D49" t="s">
        <v>31</v>
      </c>
      <c r="E49" t="s">
        <v>32</v>
      </c>
      <c r="F49" t="s">
        <v>33</v>
      </c>
      <c r="G49" t="s">
        <v>34</v>
      </c>
      <c r="H49" t="s">
        <v>35</v>
      </c>
      <c r="I49" t="s">
        <v>249</v>
      </c>
      <c r="J49" t="s">
        <v>250</v>
      </c>
      <c r="K49" t="s">
        <v>251</v>
      </c>
      <c r="L49" s="6" t="s">
        <v>1804</v>
      </c>
      <c r="M49" t="str">
        <f t="shared" si="0"/>
        <v>ALCORDOVA@BBVA.COM,monitoreocgr1.pe@bbva.com</v>
      </c>
    </row>
    <row r="50" spans="1:13" hidden="1" x14ac:dyDescent="0.25">
      <c r="A50" s="1" t="s">
        <v>252</v>
      </c>
      <c r="B50" s="1">
        <v>6249</v>
      </c>
      <c r="C50" t="s">
        <v>253</v>
      </c>
      <c r="D50" t="s">
        <v>254</v>
      </c>
      <c r="E50" t="s">
        <v>23</v>
      </c>
      <c r="F50" t="s">
        <v>52</v>
      </c>
      <c r="G50" t="s">
        <v>53</v>
      </c>
      <c r="H50" t="s">
        <v>26</v>
      </c>
      <c r="I50" t="s">
        <v>255</v>
      </c>
      <c r="J50" t="s">
        <v>256</v>
      </c>
      <c r="K50" t="s">
        <v>257</v>
      </c>
      <c r="L50" s="6" t="s">
        <v>1804</v>
      </c>
      <c r="M50" t="str">
        <f t="shared" si="0"/>
        <v>LTARAMONA@BBVA.COM,monitoreocgr1.pe@bbva.com</v>
      </c>
    </row>
    <row r="51" spans="1:13" hidden="1" x14ac:dyDescent="0.25">
      <c r="A51" s="1">
        <v>384</v>
      </c>
      <c r="B51" s="1">
        <v>384</v>
      </c>
      <c r="C51" t="s">
        <v>258</v>
      </c>
      <c r="D51" t="s">
        <v>210</v>
      </c>
      <c r="E51" t="s">
        <v>211</v>
      </c>
      <c r="F51" t="s">
        <v>33</v>
      </c>
      <c r="G51" t="s">
        <v>34</v>
      </c>
      <c r="H51" t="s">
        <v>35</v>
      </c>
      <c r="I51" t="s">
        <v>259</v>
      </c>
      <c r="J51" t="s">
        <v>260</v>
      </c>
      <c r="K51" t="s">
        <v>261</v>
      </c>
      <c r="L51" s="6" t="s">
        <v>1804</v>
      </c>
      <c r="M51" t="str">
        <f t="shared" si="0"/>
        <v>RTALAVERA@BBVA.COM,monitoreocgr1.pe@bbva.com</v>
      </c>
    </row>
    <row r="52" spans="1:13" hidden="1" x14ac:dyDescent="0.25">
      <c r="A52" s="1">
        <v>191</v>
      </c>
      <c r="B52" s="1">
        <v>191</v>
      </c>
      <c r="C52" t="s">
        <v>262</v>
      </c>
      <c r="D52" t="s">
        <v>94</v>
      </c>
      <c r="E52" t="s">
        <v>95</v>
      </c>
      <c r="F52" t="s">
        <v>24</v>
      </c>
      <c r="G52" t="s">
        <v>25</v>
      </c>
      <c r="H52" t="s">
        <v>26</v>
      </c>
      <c r="I52" t="s">
        <v>263</v>
      </c>
      <c r="J52" t="s">
        <v>264</v>
      </c>
      <c r="K52" t="s">
        <v>265</v>
      </c>
      <c r="L52" s="6" t="s">
        <v>1804</v>
      </c>
      <c r="M52" t="str">
        <f t="shared" si="0"/>
        <v>NNONTOL@BBVA.COM,monitoreocgr1.pe@bbva.com</v>
      </c>
    </row>
    <row r="53" spans="1:13" hidden="1" x14ac:dyDescent="0.25">
      <c r="A53" s="1">
        <v>841</v>
      </c>
      <c r="B53" s="1">
        <v>841</v>
      </c>
      <c r="C53" t="s">
        <v>266</v>
      </c>
      <c r="D53" t="s">
        <v>188</v>
      </c>
      <c r="E53" t="s">
        <v>189</v>
      </c>
      <c r="F53" t="s">
        <v>24</v>
      </c>
      <c r="G53" t="s">
        <v>25</v>
      </c>
      <c r="H53" t="s">
        <v>26</v>
      </c>
      <c r="I53" t="s">
        <v>267</v>
      </c>
      <c r="J53" t="s">
        <v>268</v>
      </c>
      <c r="K53" t="s">
        <v>269</v>
      </c>
      <c r="L53" s="6" t="s">
        <v>1804</v>
      </c>
      <c r="M53" t="str">
        <f t="shared" si="0"/>
        <v>MYARLEQUE@BBVA.COM,monitoreocgr1.pe@bbva.com</v>
      </c>
    </row>
    <row r="54" spans="1:13" hidden="1" x14ac:dyDescent="0.25">
      <c r="A54" s="1" t="s">
        <v>270</v>
      </c>
      <c r="B54" s="1">
        <v>6132</v>
      </c>
      <c r="C54" t="s">
        <v>271</v>
      </c>
      <c r="D54" t="s">
        <v>188</v>
      </c>
      <c r="E54" t="s">
        <v>23</v>
      </c>
      <c r="F54" t="s">
        <v>52</v>
      </c>
      <c r="G54" t="s">
        <v>53</v>
      </c>
      <c r="H54" t="s">
        <v>26</v>
      </c>
      <c r="I54" t="s">
        <v>272</v>
      </c>
      <c r="J54" t="s">
        <v>273</v>
      </c>
      <c r="K54" t="s">
        <v>274</v>
      </c>
      <c r="L54" s="6" t="s">
        <v>1804</v>
      </c>
      <c r="M54" t="str">
        <f t="shared" si="0"/>
        <v>TRIVERO@BBVA.COM,monitoreocgr1.pe@bbva.com</v>
      </c>
    </row>
    <row r="55" spans="1:13" hidden="1" x14ac:dyDescent="0.25">
      <c r="A55" s="1">
        <v>968</v>
      </c>
      <c r="B55" s="1">
        <v>968</v>
      </c>
      <c r="C55" t="s">
        <v>275</v>
      </c>
      <c r="D55" t="s">
        <v>233</v>
      </c>
      <c r="E55" t="s">
        <v>23</v>
      </c>
      <c r="F55" t="s">
        <v>276</v>
      </c>
      <c r="G55" t="s">
        <v>277</v>
      </c>
      <c r="H55" t="s">
        <v>26</v>
      </c>
      <c r="I55" t="s">
        <v>278</v>
      </c>
      <c r="J55" t="s">
        <v>279</v>
      </c>
      <c r="K55" t="s">
        <v>280</v>
      </c>
      <c r="L55" s="6" t="s">
        <v>1804</v>
      </c>
      <c r="M55" t="str">
        <f t="shared" si="0"/>
        <v>PDIEZCANSECO@BBVA.COM,monitoreocgr1.pe@bbva.com</v>
      </c>
    </row>
    <row r="56" spans="1:13" hidden="1" x14ac:dyDescent="0.25">
      <c r="A56" s="1">
        <v>241</v>
      </c>
      <c r="B56" s="1">
        <v>241</v>
      </c>
      <c r="C56" t="s">
        <v>281</v>
      </c>
      <c r="D56" t="s">
        <v>282</v>
      </c>
      <c r="E56" t="s">
        <v>283</v>
      </c>
      <c r="F56" t="s">
        <v>24</v>
      </c>
      <c r="G56" t="s">
        <v>25</v>
      </c>
      <c r="H56" t="s">
        <v>26</v>
      </c>
      <c r="I56" t="s">
        <v>284</v>
      </c>
      <c r="J56" t="s">
        <v>285</v>
      </c>
      <c r="K56" t="s">
        <v>286</v>
      </c>
      <c r="L56" s="6" t="s">
        <v>1804</v>
      </c>
      <c r="M56" t="str">
        <f t="shared" si="0"/>
        <v>JESUS.GOMEZU@BBVA.COM,monitoreocgr1.pe@bbva.com</v>
      </c>
    </row>
    <row r="57" spans="1:13" x14ac:dyDescent="0.25">
      <c r="A57" s="1">
        <v>361</v>
      </c>
      <c r="B57" s="1">
        <v>361</v>
      </c>
      <c r="C57" t="s">
        <v>287</v>
      </c>
      <c r="D57" t="s">
        <v>70</v>
      </c>
      <c r="E57" t="s">
        <v>71</v>
      </c>
      <c r="F57" t="s">
        <v>24</v>
      </c>
      <c r="G57" t="s">
        <v>25</v>
      </c>
      <c r="H57" t="s">
        <v>26</v>
      </c>
      <c r="I57" t="s">
        <v>288</v>
      </c>
      <c r="J57" t="s">
        <v>289</v>
      </c>
      <c r="K57" t="s">
        <v>290</v>
      </c>
      <c r="L57" s="6" t="s">
        <v>1804</v>
      </c>
      <c r="M57" t="str">
        <f t="shared" si="0"/>
        <v>VESPINOZA@BBVA.COM,monitoreocgr1.pe@bbva.com</v>
      </c>
    </row>
    <row r="58" spans="1:13" hidden="1" x14ac:dyDescent="0.25">
      <c r="A58" s="1">
        <v>83</v>
      </c>
      <c r="B58" s="1">
        <v>83</v>
      </c>
      <c r="C58" t="s">
        <v>291</v>
      </c>
      <c r="D58" t="s">
        <v>40</v>
      </c>
      <c r="E58" t="s">
        <v>41</v>
      </c>
      <c r="F58" t="s">
        <v>24</v>
      </c>
      <c r="G58" t="s">
        <v>25</v>
      </c>
      <c r="H58" t="s">
        <v>26</v>
      </c>
      <c r="I58" t="s">
        <v>292</v>
      </c>
      <c r="J58" t="s">
        <v>293</v>
      </c>
      <c r="K58" t="s">
        <v>294</v>
      </c>
      <c r="L58" s="6" t="s">
        <v>1804</v>
      </c>
      <c r="M58" t="str">
        <f t="shared" si="0"/>
        <v>FVENEGAS@BBVA.COM,monitoreocgr1.pe@bbva.com</v>
      </c>
    </row>
    <row r="59" spans="1:13" hidden="1" x14ac:dyDescent="0.25">
      <c r="A59" s="1">
        <v>643</v>
      </c>
      <c r="B59" s="1">
        <v>643</v>
      </c>
      <c r="C59" t="s">
        <v>295</v>
      </c>
      <c r="D59" t="s">
        <v>152</v>
      </c>
      <c r="E59" t="s">
        <v>153</v>
      </c>
      <c r="F59" t="s">
        <v>24</v>
      </c>
      <c r="G59" t="s">
        <v>25</v>
      </c>
      <c r="H59" t="s">
        <v>26</v>
      </c>
      <c r="I59" t="s">
        <v>296</v>
      </c>
      <c r="J59" t="s">
        <v>297</v>
      </c>
      <c r="K59" t="s">
        <v>298</v>
      </c>
      <c r="L59" s="6" t="s">
        <v>1804</v>
      </c>
      <c r="M59" t="str">
        <f t="shared" si="0"/>
        <v>ines.vargas@bbva.com,monitoreocgr1.pe@bbva.com</v>
      </c>
    </row>
    <row r="60" spans="1:13" hidden="1" x14ac:dyDescent="0.25">
      <c r="A60" s="1">
        <v>354</v>
      </c>
      <c r="B60" s="1">
        <v>354</v>
      </c>
      <c r="C60" t="s">
        <v>299</v>
      </c>
      <c r="D60" t="s">
        <v>94</v>
      </c>
      <c r="E60" t="s">
        <v>95</v>
      </c>
      <c r="F60" t="s">
        <v>24</v>
      </c>
      <c r="G60" t="s">
        <v>25</v>
      </c>
      <c r="H60" t="s">
        <v>26</v>
      </c>
      <c r="I60" t="s">
        <v>300</v>
      </c>
      <c r="J60" t="s">
        <v>301</v>
      </c>
      <c r="K60" t="s">
        <v>302</v>
      </c>
      <c r="L60" s="6" t="s">
        <v>1804</v>
      </c>
      <c r="M60" t="str">
        <f t="shared" si="0"/>
        <v>MAESPINOZA@BBVA.COM,monitoreocgr1.pe@bbva.com</v>
      </c>
    </row>
    <row r="61" spans="1:13" hidden="1" x14ac:dyDescent="0.25">
      <c r="A61" s="1">
        <v>427</v>
      </c>
      <c r="B61" s="1">
        <v>427</v>
      </c>
      <c r="C61" t="s">
        <v>303</v>
      </c>
      <c r="D61" t="s">
        <v>40</v>
      </c>
      <c r="E61" t="s">
        <v>41</v>
      </c>
      <c r="F61" t="s">
        <v>24</v>
      </c>
      <c r="G61" t="s">
        <v>25</v>
      </c>
      <c r="H61" t="s">
        <v>26</v>
      </c>
      <c r="I61" t="s">
        <v>304</v>
      </c>
      <c r="J61" t="s">
        <v>305</v>
      </c>
      <c r="K61" t="s">
        <v>306</v>
      </c>
      <c r="L61" s="6" t="s">
        <v>1804</v>
      </c>
      <c r="M61" t="str">
        <f t="shared" si="0"/>
        <v>RCOBOS@BBVA.COM,monitoreocgr1.pe@bbva.com</v>
      </c>
    </row>
    <row r="62" spans="1:13" hidden="1" x14ac:dyDescent="0.25">
      <c r="A62" s="1">
        <v>967</v>
      </c>
      <c r="B62" s="1">
        <v>967</v>
      </c>
      <c r="C62" t="s">
        <v>307</v>
      </c>
      <c r="D62" t="s">
        <v>210</v>
      </c>
      <c r="E62" t="s">
        <v>211</v>
      </c>
      <c r="F62" t="s">
        <v>33</v>
      </c>
      <c r="G62" t="s">
        <v>34</v>
      </c>
      <c r="H62" t="s">
        <v>35</v>
      </c>
      <c r="I62" t="s">
        <v>308</v>
      </c>
      <c r="J62" t="s">
        <v>309</v>
      </c>
      <c r="K62" t="s">
        <v>310</v>
      </c>
      <c r="L62" s="6" t="s">
        <v>1804</v>
      </c>
      <c r="M62" t="str">
        <f t="shared" si="0"/>
        <v>JMAGUINA@BBVA.COM,monitoreocgr1.pe@bbva.com</v>
      </c>
    </row>
    <row r="63" spans="1:13" hidden="1" x14ac:dyDescent="0.25">
      <c r="A63" s="1">
        <v>50</v>
      </c>
      <c r="B63" s="1">
        <v>50</v>
      </c>
      <c r="C63" t="s">
        <v>311</v>
      </c>
      <c r="D63" t="s">
        <v>254</v>
      </c>
      <c r="E63" t="s">
        <v>312</v>
      </c>
      <c r="F63" t="s">
        <v>24</v>
      </c>
      <c r="G63" t="s">
        <v>25</v>
      </c>
      <c r="H63" t="s">
        <v>26</v>
      </c>
      <c r="I63" t="s">
        <v>313</v>
      </c>
      <c r="J63" t="s">
        <v>314</v>
      </c>
      <c r="K63" t="s">
        <v>315</v>
      </c>
      <c r="L63" s="6" t="s">
        <v>1804</v>
      </c>
      <c r="M63" t="str">
        <f t="shared" si="0"/>
        <v>JRIMACHI@BBVA.COM,monitoreocgr1.pe@bbva.com</v>
      </c>
    </row>
    <row r="64" spans="1:13" hidden="1" x14ac:dyDescent="0.25">
      <c r="A64" s="1">
        <v>305</v>
      </c>
      <c r="B64" s="1">
        <v>305</v>
      </c>
      <c r="C64" t="s">
        <v>316</v>
      </c>
      <c r="D64" t="s">
        <v>210</v>
      </c>
      <c r="E64" t="s">
        <v>211</v>
      </c>
      <c r="F64" t="s">
        <v>33</v>
      </c>
      <c r="G64" t="s">
        <v>34</v>
      </c>
      <c r="H64" t="s">
        <v>35</v>
      </c>
      <c r="I64" t="s">
        <v>317</v>
      </c>
      <c r="J64" t="s">
        <v>318</v>
      </c>
      <c r="K64" t="s">
        <v>319</v>
      </c>
      <c r="L64" s="6" t="s">
        <v>1804</v>
      </c>
      <c r="M64" t="str">
        <f t="shared" si="0"/>
        <v>WDELAGUILA@BBVA.COM,monitoreocgr1.pe@bbva.com</v>
      </c>
    </row>
    <row r="65" spans="1:13" hidden="1" x14ac:dyDescent="0.25">
      <c r="A65" s="1">
        <v>297</v>
      </c>
      <c r="B65" s="1">
        <v>297</v>
      </c>
      <c r="C65" t="s">
        <v>320</v>
      </c>
      <c r="D65" t="s">
        <v>188</v>
      </c>
      <c r="E65" t="s">
        <v>189</v>
      </c>
      <c r="F65" t="s">
        <v>24</v>
      </c>
      <c r="G65" t="s">
        <v>25</v>
      </c>
      <c r="H65" t="s">
        <v>26</v>
      </c>
      <c r="I65" t="s">
        <v>321</v>
      </c>
      <c r="J65" t="s">
        <v>322</v>
      </c>
      <c r="K65" t="s">
        <v>323</v>
      </c>
      <c r="L65" s="6" t="s">
        <v>1804</v>
      </c>
      <c r="M65" t="str">
        <f t="shared" si="0"/>
        <v>ERIOSR@BBVA.COM,monitoreocgr1.pe@bbva.com</v>
      </c>
    </row>
    <row r="66" spans="1:13" hidden="1" x14ac:dyDescent="0.25">
      <c r="A66" s="1">
        <v>797</v>
      </c>
      <c r="B66" s="1">
        <v>797</v>
      </c>
      <c r="C66" t="s">
        <v>324</v>
      </c>
      <c r="D66" t="s">
        <v>254</v>
      </c>
      <c r="E66" t="s">
        <v>312</v>
      </c>
      <c r="F66" t="s">
        <v>24</v>
      </c>
      <c r="G66" t="s">
        <v>25</v>
      </c>
      <c r="H66" t="s">
        <v>26</v>
      </c>
      <c r="I66" t="s">
        <v>325</v>
      </c>
      <c r="J66" t="s">
        <v>326</v>
      </c>
      <c r="K66" t="s">
        <v>327</v>
      </c>
      <c r="L66" s="6" t="s">
        <v>1804</v>
      </c>
      <c r="M66" t="str">
        <f t="shared" si="0"/>
        <v>VVELA@BBVA.COM,monitoreocgr1.pe@bbva.com</v>
      </c>
    </row>
    <row r="67" spans="1:13" hidden="1" x14ac:dyDescent="0.25">
      <c r="A67" s="1">
        <v>275</v>
      </c>
      <c r="B67" s="1">
        <v>275</v>
      </c>
      <c r="C67" t="s">
        <v>328</v>
      </c>
      <c r="D67" t="s">
        <v>188</v>
      </c>
      <c r="E67" t="s">
        <v>189</v>
      </c>
      <c r="F67" t="s">
        <v>24</v>
      </c>
      <c r="G67" t="s">
        <v>25</v>
      </c>
      <c r="H67" t="s">
        <v>26</v>
      </c>
      <c r="I67" t="s">
        <v>329</v>
      </c>
      <c r="J67" t="s">
        <v>330</v>
      </c>
      <c r="K67" t="s">
        <v>331</v>
      </c>
      <c r="L67" s="6" t="s">
        <v>1804</v>
      </c>
      <c r="M67" t="str">
        <f t="shared" ref="M67:M130" si="1">CONCATENATE(K67,",",L67)</f>
        <v>JRIVERA@BBVA.COM,monitoreocgr1.pe@bbva.com</v>
      </c>
    </row>
    <row r="68" spans="1:13" hidden="1" x14ac:dyDescent="0.25">
      <c r="A68" s="1">
        <v>299</v>
      </c>
      <c r="B68" s="1">
        <v>299</v>
      </c>
      <c r="C68" t="s">
        <v>332</v>
      </c>
      <c r="D68" t="s">
        <v>254</v>
      </c>
      <c r="E68" t="s">
        <v>312</v>
      </c>
      <c r="F68" t="s">
        <v>24</v>
      </c>
      <c r="G68" t="s">
        <v>25</v>
      </c>
      <c r="H68" t="s">
        <v>26</v>
      </c>
      <c r="I68" t="s">
        <v>333</v>
      </c>
      <c r="J68" t="s">
        <v>334</v>
      </c>
      <c r="K68" t="s">
        <v>335</v>
      </c>
      <c r="L68" s="6" t="s">
        <v>1804</v>
      </c>
      <c r="M68" t="str">
        <f t="shared" si="1"/>
        <v>MCHOTA@BBVA.COM,monitoreocgr1.pe@bbva.com</v>
      </c>
    </row>
    <row r="69" spans="1:13" hidden="1" x14ac:dyDescent="0.25">
      <c r="A69" s="1">
        <v>277</v>
      </c>
      <c r="B69" s="1">
        <v>277</v>
      </c>
      <c r="C69" t="s">
        <v>336</v>
      </c>
      <c r="D69" t="s">
        <v>254</v>
      </c>
      <c r="E69" t="s">
        <v>312</v>
      </c>
      <c r="F69" t="s">
        <v>24</v>
      </c>
      <c r="G69" t="s">
        <v>25</v>
      </c>
      <c r="H69" t="s">
        <v>26</v>
      </c>
      <c r="I69" t="s">
        <v>337</v>
      </c>
      <c r="J69" t="s">
        <v>338</v>
      </c>
      <c r="K69" t="s">
        <v>339</v>
      </c>
      <c r="L69" s="6" t="s">
        <v>1804</v>
      </c>
      <c r="M69" t="str">
        <f t="shared" si="1"/>
        <v>MJARA@BBVA.COM,monitoreocgr1.pe@bbva.com</v>
      </c>
    </row>
    <row r="70" spans="1:13" hidden="1" x14ac:dyDescent="0.25">
      <c r="A70" s="1">
        <v>210</v>
      </c>
      <c r="B70" s="1">
        <v>210</v>
      </c>
      <c r="C70" t="s">
        <v>340</v>
      </c>
      <c r="D70" t="s">
        <v>254</v>
      </c>
      <c r="E70" t="s">
        <v>312</v>
      </c>
      <c r="F70" t="s">
        <v>24</v>
      </c>
      <c r="G70" t="s">
        <v>25</v>
      </c>
      <c r="H70" t="s">
        <v>26</v>
      </c>
      <c r="I70" t="s">
        <v>341</v>
      </c>
      <c r="J70" t="s">
        <v>342</v>
      </c>
      <c r="K70" t="s">
        <v>343</v>
      </c>
      <c r="L70" s="6" t="s">
        <v>1804</v>
      </c>
      <c r="M70" t="str">
        <f t="shared" si="1"/>
        <v>MMESIAS@BBVA.COM,monitoreocgr1.pe@bbva.com</v>
      </c>
    </row>
    <row r="71" spans="1:13" hidden="1" x14ac:dyDescent="0.25">
      <c r="A71" s="1">
        <v>274</v>
      </c>
      <c r="B71" s="1">
        <v>274</v>
      </c>
      <c r="C71" t="s">
        <v>344</v>
      </c>
      <c r="D71" t="s">
        <v>22</v>
      </c>
      <c r="E71" t="s">
        <v>345</v>
      </c>
      <c r="F71" t="s">
        <v>24</v>
      </c>
      <c r="G71" t="s">
        <v>25</v>
      </c>
      <c r="H71" t="s">
        <v>26</v>
      </c>
      <c r="I71" t="s">
        <v>346</v>
      </c>
      <c r="J71" t="s">
        <v>347</v>
      </c>
      <c r="K71" t="s">
        <v>348</v>
      </c>
      <c r="L71" s="6" t="s">
        <v>1804</v>
      </c>
      <c r="M71" t="str">
        <f t="shared" si="1"/>
        <v>MREANO@BBVA.COM,monitoreocgr1.pe@bbva.com</v>
      </c>
    </row>
    <row r="72" spans="1:13" hidden="1" x14ac:dyDescent="0.25">
      <c r="A72" s="1">
        <v>288</v>
      </c>
      <c r="B72" s="1">
        <v>288</v>
      </c>
      <c r="C72" t="s">
        <v>349</v>
      </c>
      <c r="D72" t="s">
        <v>22</v>
      </c>
      <c r="E72" t="s">
        <v>345</v>
      </c>
      <c r="F72" t="s">
        <v>24</v>
      </c>
      <c r="G72" t="s">
        <v>25</v>
      </c>
      <c r="H72" t="s">
        <v>26</v>
      </c>
      <c r="I72" t="s">
        <v>350</v>
      </c>
      <c r="J72" t="s">
        <v>351</v>
      </c>
      <c r="K72" t="s">
        <v>352</v>
      </c>
      <c r="L72" s="6" t="s">
        <v>1804</v>
      </c>
      <c r="M72" t="str">
        <f t="shared" si="1"/>
        <v>VPAZ@BBVA.COM,monitoreocgr1.pe@bbva.com</v>
      </c>
    </row>
    <row r="73" spans="1:13" hidden="1" x14ac:dyDescent="0.25">
      <c r="A73" s="1">
        <v>619</v>
      </c>
      <c r="B73" s="1">
        <v>619</v>
      </c>
      <c r="C73" t="s">
        <v>353</v>
      </c>
      <c r="D73" t="s">
        <v>22</v>
      </c>
      <c r="E73" t="s">
        <v>345</v>
      </c>
      <c r="F73" t="s">
        <v>24</v>
      </c>
      <c r="G73" t="s">
        <v>25</v>
      </c>
      <c r="H73" t="s">
        <v>26</v>
      </c>
      <c r="I73" t="s">
        <v>354</v>
      </c>
      <c r="J73" t="s">
        <v>355</v>
      </c>
      <c r="K73" t="s">
        <v>356</v>
      </c>
      <c r="L73" s="6" t="s">
        <v>1804</v>
      </c>
      <c r="M73" t="str">
        <f t="shared" si="1"/>
        <v>JLUJAN@BBVA.COM,monitoreocgr1.pe@bbva.com</v>
      </c>
    </row>
    <row r="74" spans="1:13" hidden="1" x14ac:dyDescent="0.25">
      <c r="A74" s="1">
        <v>900</v>
      </c>
      <c r="B74" s="1">
        <v>900</v>
      </c>
      <c r="C74" t="s">
        <v>357</v>
      </c>
      <c r="D74" t="s">
        <v>22</v>
      </c>
      <c r="E74" t="s">
        <v>345</v>
      </c>
      <c r="F74" t="s">
        <v>24</v>
      </c>
      <c r="G74" t="s">
        <v>25</v>
      </c>
      <c r="H74" t="s">
        <v>26</v>
      </c>
      <c r="I74" t="s">
        <v>358</v>
      </c>
      <c r="J74" t="s">
        <v>359</v>
      </c>
      <c r="K74" t="s">
        <v>360</v>
      </c>
      <c r="L74" s="6" t="s">
        <v>1804</v>
      </c>
      <c r="M74" t="str">
        <f t="shared" si="1"/>
        <v>JARRASCO@BBVA.COM,monitoreocgr1.pe@bbva.com</v>
      </c>
    </row>
    <row r="75" spans="1:13" hidden="1" x14ac:dyDescent="0.25">
      <c r="A75" s="1">
        <v>254</v>
      </c>
      <c r="B75" s="1">
        <v>254</v>
      </c>
      <c r="C75" t="s">
        <v>361</v>
      </c>
      <c r="D75" t="s">
        <v>22</v>
      </c>
      <c r="E75" t="s">
        <v>345</v>
      </c>
      <c r="F75" t="s">
        <v>24</v>
      </c>
      <c r="G75" t="s">
        <v>25</v>
      </c>
      <c r="H75" t="s">
        <v>26</v>
      </c>
      <c r="I75" t="s">
        <v>362</v>
      </c>
      <c r="J75" t="s">
        <v>363</v>
      </c>
      <c r="K75" t="s">
        <v>364</v>
      </c>
      <c r="L75" s="6" t="s">
        <v>1804</v>
      </c>
      <c r="M75" t="str">
        <f t="shared" si="1"/>
        <v>LSALAZAR@BBVA.COM,monitoreocgr1.pe@bbva.com</v>
      </c>
    </row>
    <row r="76" spans="1:13" hidden="1" x14ac:dyDescent="0.25">
      <c r="A76" s="1">
        <v>280</v>
      </c>
      <c r="B76" s="1">
        <v>280</v>
      </c>
      <c r="C76" t="s">
        <v>365</v>
      </c>
      <c r="D76" t="s">
        <v>80</v>
      </c>
      <c r="E76" t="s">
        <v>81</v>
      </c>
      <c r="F76" t="s">
        <v>33</v>
      </c>
      <c r="G76" t="s">
        <v>34</v>
      </c>
      <c r="H76" t="s">
        <v>35</v>
      </c>
      <c r="I76" t="s">
        <v>366</v>
      </c>
      <c r="J76" t="s">
        <v>367</v>
      </c>
      <c r="K76" t="s">
        <v>368</v>
      </c>
      <c r="L76" s="6" t="s">
        <v>1804</v>
      </c>
      <c r="M76" t="str">
        <f t="shared" si="1"/>
        <v>LBALLESTEROS@BBVA.COM,monitoreocgr1.pe@bbva.com</v>
      </c>
    </row>
    <row r="77" spans="1:13" hidden="1" x14ac:dyDescent="0.25">
      <c r="A77" s="1">
        <v>287</v>
      </c>
      <c r="B77" s="1">
        <v>287</v>
      </c>
      <c r="C77" t="s">
        <v>369</v>
      </c>
      <c r="D77" t="s">
        <v>22</v>
      </c>
      <c r="E77" t="s">
        <v>345</v>
      </c>
      <c r="F77" t="s">
        <v>24</v>
      </c>
      <c r="G77" t="s">
        <v>25</v>
      </c>
      <c r="H77" t="s">
        <v>26</v>
      </c>
      <c r="I77" t="s">
        <v>370</v>
      </c>
      <c r="J77" t="s">
        <v>371</v>
      </c>
      <c r="K77" t="s">
        <v>372</v>
      </c>
      <c r="L77" s="6" t="s">
        <v>1804</v>
      </c>
      <c r="M77" t="str">
        <f t="shared" si="1"/>
        <v>MCCASTILLO@BBVA.COM,monitoreocgr1.pe@bbva.com</v>
      </c>
    </row>
    <row r="78" spans="1:13" hidden="1" x14ac:dyDescent="0.25">
      <c r="A78" s="1">
        <v>554</v>
      </c>
      <c r="B78" s="1">
        <v>554</v>
      </c>
      <c r="C78" t="s">
        <v>373</v>
      </c>
      <c r="D78" t="s">
        <v>22</v>
      </c>
      <c r="E78" t="s">
        <v>345</v>
      </c>
      <c r="F78" t="s">
        <v>24</v>
      </c>
      <c r="G78" t="s">
        <v>25</v>
      </c>
      <c r="H78" t="s">
        <v>26</v>
      </c>
      <c r="I78" t="s">
        <v>374</v>
      </c>
      <c r="J78" t="s">
        <v>375</v>
      </c>
      <c r="K78" t="s">
        <v>376</v>
      </c>
      <c r="L78" s="6" t="s">
        <v>1804</v>
      </c>
      <c r="M78" t="str">
        <f t="shared" si="1"/>
        <v>LMARTINEZM@BBVA.COM,monitoreocgr1.pe@bbva.com</v>
      </c>
    </row>
    <row r="79" spans="1:13" hidden="1" x14ac:dyDescent="0.25">
      <c r="A79" s="1">
        <v>279</v>
      </c>
      <c r="B79" s="1">
        <v>279</v>
      </c>
      <c r="C79" t="s">
        <v>377</v>
      </c>
      <c r="D79" t="s">
        <v>80</v>
      </c>
      <c r="E79" t="s">
        <v>81</v>
      </c>
      <c r="F79" t="s">
        <v>33</v>
      </c>
      <c r="G79" t="s">
        <v>34</v>
      </c>
      <c r="H79" t="s">
        <v>35</v>
      </c>
      <c r="I79" t="s">
        <v>378</v>
      </c>
      <c r="J79" t="s">
        <v>379</v>
      </c>
      <c r="K79" t="s">
        <v>380</v>
      </c>
      <c r="L79" s="6" t="s">
        <v>1804</v>
      </c>
      <c r="M79" t="str">
        <f t="shared" si="1"/>
        <v>EQUIROZ@BBVA.COM,monitoreocgr1.pe@bbva.com</v>
      </c>
    </row>
    <row r="80" spans="1:13" hidden="1" x14ac:dyDescent="0.25">
      <c r="A80" s="1">
        <v>251</v>
      </c>
      <c r="B80" s="1">
        <v>251</v>
      </c>
      <c r="C80" t="s">
        <v>381</v>
      </c>
      <c r="D80" t="s">
        <v>22</v>
      </c>
      <c r="E80" t="s">
        <v>345</v>
      </c>
      <c r="F80" t="s">
        <v>24</v>
      </c>
      <c r="G80" t="s">
        <v>25</v>
      </c>
      <c r="H80" t="s">
        <v>26</v>
      </c>
      <c r="I80" t="s">
        <v>382</v>
      </c>
      <c r="J80" t="s">
        <v>383</v>
      </c>
      <c r="K80" t="s">
        <v>384</v>
      </c>
      <c r="L80" s="6" t="s">
        <v>1804</v>
      </c>
      <c r="M80" t="str">
        <f t="shared" si="1"/>
        <v>JMMORENO@BBVA.COM,monitoreocgr1.pe@bbva.com</v>
      </c>
    </row>
    <row r="81" spans="1:13" hidden="1" x14ac:dyDescent="0.25">
      <c r="A81" s="1">
        <v>246</v>
      </c>
      <c r="B81" s="1">
        <v>246</v>
      </c>
      <c r="C81" t="s">
        <v>385</v>
      </c>
      <c r="D81" t="s">
        <v>22</v>
      </c>
      <c r="E81" t="s">
        <v>345</v>
      </c>
      <c r="F81" t="s">
        <v>24</v>
      </c>
      <c r="G81" t="s">
        <v>25</v>
      </c>
      <c r="H81" t="s">
        <v>26</v>
      </c>
      <c r="I81" t="s">
        <v>386</v>
      </c>
      <c r="J81" t="s">
        <v>387</v>
      </c>
      <c r="K81" t="s">
        <v>388</v>
      </c>
      <c r="L81" s="6" t="s">
        <v>1804</v>
      </c>
      <c r="M81" t="str">
        <f t="shared" si="1"/>
        <v>MNAVARRO@BBVA.COM,monitoreocgr1.pe@bbva.com</v>
      </c>
    </row>
    <row r="82" spans="1:13" hidden="1" x14ac:dyDescent="0.25">
      <c r="A82" s="1">
        <v>281</v>
      </c>
      <c r="B82" s="1">
        <v>281</v>
      </c>
      <c r="C82" t="s">
        <v>389</v>
      </c>
      <c r="D82" t="s">
        <v>254</v>
      </c>
      <c r="E82" t="s">
        <v>312</v>
      </c>
      <c r="F82" t="s">
        <v>24</v>
      </c>
      <c r="G82" t="s">
        <v>25</v>
      </c>
      <c r="H82" t="s">
        <v>26</v>
      </c>
      <c r="I82" t="s">
        <v>390</v>
      </c>
      <c r="J82" t="s">
        <v>391</v>
      </c>
      <c r="K82" t="s">
        <v>392</v>
      </c>
      <c r="L82" s="6" t="s">
        <v>1804</v>
      </c>
      <c r="M82" t="str">
        <f t="shared" si="1"/>
        <v>CPACHAS@BBVA.COM,monitoreocgr1.pe@bbva.com</v>
      </c>
    </row>
    <row r="83" spans="1:13" hidden="1" x14ac:dyDescent="0.25">
      <c r="A83" s="1">
        <v>249</v>
      </c>
      <c r="B83" s="1">
        <v>249</v>
      </c>
      <c r="C83" t="s">
        <v>393</v>
      </c>
      <c r="D83" t="s">
        <v>22</v>
      </c>
      <c r="E83" t="s">
        <v>345</v>
      </c>
      <c r="F83" t="s">
        <v>24</v>
      </c>
      <c r="G83" t="s">
        <v>25</v>
      </c>
      <c r="H83" t="s">
        <v>26</v>
      </c>
      <c r="I83" t="s">
        <v>394</v>
      </c>
      <c r="J83" t="s">
        <v>395</v>
      </c>
      <c r="K83" t="s">
        <v>396</v>
      </c>
      <c r="L83" s="6" t="s">
        <v>1804</v>
      </c>
      <c r="M83" t="str">
        <f t="shared" si="1"/>
        <v>RCHERO@BBVA.COM,monitoreocgr1.pe@bbva.com</v>
      </c>
    </row>
    <row r="84" spans="1:13" hidden="1" x14ac:dyDescent="0.25">
      <c r="A84" s="1">
        <v>270</v>
      </c>
      <c r="B84" s="1">
        <v>270</v>
      </c>
      <c r="C84" t="s">
        <v>397</v>
      </c>
      <c r="D84" t="s">
        <v>22</v>
      </c>
      <c r="E84" t="s">
        <v>345</v>
      </c>
      <c r="F84" t="s">
        <v>24</v>
      </c>
      <c r="G84" t="s">
        <v>25</v>
      </c>
      <c r="H84" t="s">
        <v>26</v>
      </c>
      <c r="I84" t="s">
        <v>398</v>
      </c>
      <c r="J84" t="s">
        <v>399</v>
      </c>
      <c r="K84" t="s">
        <v>400</v>
      </c>
      <c r="L84" s="6" t="s">
        <v>1804</v>
      </c>
      <c r="M84" t="str">
        <f t="shared" si="1"/>
        <v>LSOSA@BBVA.COM,monitoreocgr1.pe@bbva.com</v>
      </c>
    </row>
    <row r="85" spans="1:13" hidden="1" x14ac:dyDescent="0.25">
      <c r="A85" s="1">
        <v>667</v>
      </c>
      <c r="B85" s="1">
        <v>667</v>
      </c>
      <c r="C85" t="s">
        <v>401</v>
      </c>
      <c r="D85" t="s">
        <v>22</v>
      </c>
      <c r="E85" t="s">
        <v>345</v>
      </c>
      <c r="F85" t="s">
        <v>24</v>
      </c>
      <c r="G85" t="s">
        <v>25</v>
      </c>
      <c r="H85" t="s">
        <v>26</v>
      </c>
      <c r="I85" t="s">
        <v>402</v>
      </c>
      <c r="J85" t="s">
        <v>403</v>
      </c>
      <c r="K85" t="s">
        <v>404</v>
      </c>
      <c r="L85" s="6" t="s">
        <v>1804</v>
      </c>
      <c r="M85" t="str">
        <f t="shared" si="1"/>
        <v>RVASQUEZ@BBVA.COM,monitoreocgr1.pe@bbva.com</v>
      </c>
    </row>
    <row r="86" spans="1:13" hidden="1" x14ac:dyDescent="0.25">
      <c r="A86" s="1">
        <v>314</v>
      </c>
      <c r="B86" s="1">
        <v>314</v>
      </c>
      <c r="C86" t="s">
        <v>405</v>
      </c>
      <c r="D86" t="s">
        <v>254</v>
      </c>
      <c r="E86" t="s">
        <v>312</v>
      </c>
      <c r="F86" t="s">
        <v>24</v>
      </c>
      <c r="G86" t="s">
        <v>25</v>
      </c>
      <c r="H86" t="s">
        <v>26</v>
      </c>
      <c r="I86" t="s">
        <v>406</v>
      </c>
      <c r="J86" t="s">
        <v>407</v>
      </c>
      <c r="K86" t="s">
        <v>408</v>
      </c>
      <c r="L86" s="6" t="s">
        <v>1804</v>
      </c>
      <c r="M86" t="str">
        <f t="shared" si="1"/>
        <v>JOTERO@BBVA.COM,monitoreocgr1.pe@bbva.com</v>
      </c>
    </row>
    <row r="87" spans="1:13" hidden="1" x14ac:dyDescent="0.25">
      <c r="A87" s="1">
        <v>350</v>
      </c>
      <c r="B87" s="1">
        <v>350</v>
      </c>
      <c r="C87" t="s">
        <v>409</v>
      </c>
      <c r="D87" t="s">
        <v>210</v>
      </c>
      <c r="E87" t="s">
        <v>211</v>
      </c>
      <c r="F87" t="s">
        <v>33</v>
      </c>
      <c r="G87" t="s">
        <v>34</v>
      </c>
      <c r="H87" t="s">
        <v>35</v>
      </c>
      <c r="I87" t="s">
        <v>410</v>
      </c>
      <c r="J87" t="s">
        <v>411</v>
      </c>
      <c r="K87" t="s">
        <v>412</v>
      </c>
      <c r="L87" s="6" t="s">
        <v>1804</v>
      </c>
      <c r="M87" t="str">
        <f t="shared" si="1"/>
        <v>AAPEREZN@BBVA.COM,monitoreocgr1.pe@bbva.com</v>
      </c>
    </row>
    <row r="88" spans="1:13" hidden="1" x14ac:dyDescent="0.25">
      <c r="A88" s="1" t="s">
        <v>413</v>
      </c>
      <c r="B88" s="1">
        <v>6133</v>
      </c>
      <c r="C88" t="s">
        <v>414</v>
      </c>
      <c r="D88" t="s">
        <v>178</v>
      </c>
      <c r="E88" t="s">
        <v>23</v>
      </c>
      <c r="F88" t="s">
        <v>52</v>
      </c>
      <c r="G88" t="s">
        <v>53</v>
      </c>
      <c r="H88" t="s">
        <v>26</v>
      </c>
      <c r="I88" t="s">
        <v>415</v>
      </c>
      <c r="J88" t="s">
        <v>416</v>
      </c>
      <c r="K88" t="s">
        <v>417</v>
      </c>
      <c r="L88" s="6" t="s">
        <v>1804</v>
      </c>
      <c r="M88" t="str">
        <f t="shared" si="1"/>
        <v>MDPCARDENAS@BBVA.COM,monitoreocgr1.pe@bbva.com</v>
      </c>
    </row>
    <row r="89" spans="1:13" hidden="1" x14ac:dyDescent="0.25">
      <c r="A89" s="1">
        <v>388</v>
      </c>
      <c r="B89" s="1">
        <v>388</v>
      </c>
      <c r="C89" t="s">
        <v>418</v>
      </c>
      <c r="D89" t="s">
        <v>46</v>
      </c>
      <c r="E89" t="s">
        <v>47</v>
      </c>
      <c r="F89" t="s">
        <v>24</v>
      </c>
      <c r="G89" t="s">
        <v>25</v>
      </c>
      <c r="H89" t="s">
        <v>26</v>
      </c>
      <c r="I89" t="s">
        <v>419</v>
      </c>
      <c r="J89" t="s">
        <v>420</v>
      </c>
      <c r="K89" t="s">
        <v>421</v>
      </c>
      <c r="L89" s="6" t="s">
        <v>1804</v>
      </c>
      <c r="M89" t="str">
        <f t="shared" si="1"/>
        <v>SSRODRIGUEZ@BBVA.COM,monitoreocgr1.pe@bbva.com</v>
      </c>
    </row>
    <row r="90" spans="1:13" hidden="1" x14ac:dyDescent="0.25">
      <c r="A90" s="1">
        <v>349</v>
      </c>
      <c r="B90" s="1">
        <v>349</v>
      </c>
      <c r="C90" t="s">
        <v>422</v>
      </c>
      <c r="D90" t="s">
        <v>210</v>
      </c>
      <c r="E90" t="s">
        <v>211</v>
      </c>
      <c r="F90" t="s">
        <v>33</v>
      </c>
      <c r="G90" t="s">
        <v>34</v>
      </c>
      <c r="H90" t="s">
        <v>35</v>
      </c>
      <c r="I90" t="s">
        <v>423</v>
      </c>
      <c r="J90" t="s">
        <v>424</v>
      </c>
      <c r="K90" t="s">
        <v>425</v>
      </c>
      <c r="L90" s="6" t="s">
        <v>1804</v>
      </c>
      <c r="M90" t="str">
        <f t="shared" si="1"/>
        <v>JMAGUILAR@BBVA.COM,monitoreocgr1.pe@bbva.com</v>
      </c>
    </row>
    <row r="91" spans="1:13" hidden="1" x14ac:dyDescent="0.25">
      <c r="A91" s="1">
        <v>311</v>
      </c>
      <c r="B91" s="1">
        <v>311</v>
      </c>
      <c r="C91" t="s">
        <v>426</v>
      </c>
      <c r="D91" t="s">
        <v>31</v>
      </c>
      <c r="E91" t="s">
        <v>32</v>
      </c>
      <c r="F91" t="s">
        <v>33</v>
      </c>
      <c r="G91" t="s">
        <v>34</v>
      </c>
      <c r="H91" t="s">
        <v>35</v>
      </c>
      <c r="I91" t="s">
        <v>427</v>
      </c>
      <c r="J91" t="s">
        <v>428</v>
      </c>
      <c r="K91" t="s">
        <v>429</v>
      </c>
      <c r="L91" s="6" t="s">
        <v>1804</v>
      </c>
      <c r="M91" t="str">
        <f t="shared" si="1"/>
        <v>PSOTELO@BBVA.COM,monitoreocgr1.pe@bbva.com</v>
      </c>
    </row>
    <row r="92" spans="1:13" hidden="1" x14ac:dyDescent="0.25">
      <c r="A92" s="1">
        <v>661</v>
      </c>
      <c r="B92" s="1">
        <v>661</v>
      </c>
      <c r="C92" t="s">
        <v>430</v>
      </c>
      <c r="D92" t="s">
        <v>431</v>
      </c>
      <c r="E92" t="s">
        <v>14</v>
      </c>
      <c r="F92" t="s">
        <v>432</v>
      </c>
      <c r="G92" t="s">
        <v>433</v>
      </c>
      <c r="H92" t="s">
        <v>35</v>
      </c>
      <c r="I92" t="s">
        <v>434</v>
      </c>
      <c r="J92" t="s">
        <v>435</v>
      </c>
      <c r="K92" t="s">
        <v>436</v>
      </c>
      <c r="L92" s="6" t="s">
        <v>1804</v>
      </c>
      <c r="M92" t="str">
        <f t="shared" si="1"/>
        <v>RORTIZ@BBVA.COM,monitoreocgr1.pe@bbva.com</v>
      </c>
    </row>
    <row r="93" spans="1:13" hidden="1" x14ac:dyDescent="0.25">
      <c r="A93" s="1">
        <v>113</v>
      </c>
      <c r="B93" s="1">
        <v>113</v>
      </c>
      <c r="C93" t="s">
        <v>437</v>
      </c>
      <c r="D93" t="s">
        <v>188</v>
      </c>
      <c r="E93" t="s">
        <v>189</v>
      </c>
      <c r="F93" t="s">
        <v>24</v>
      </c>
      <c r="G93" t="s">
        <v>25</v>
      </c>
      <c r="H93" t="s">
        <v>26</v>
      </c>
      <c r="I93" t="s">
        <v>438</v>
      </c>
      <c r="J93" t="s">
        <v>439</v>
      </c>
      <c r="K93" t="s">
        <v>440</v>
      </c>
      <c r="L93" s="6" t="s">
        <v>1804</v>
      </c>
      <c r="M93" t="str">
        <f t="shared" si="1"/>
        <v>ECOLLANTES@BBVA.COM,monitoreocgr1.pe@bbva.com</v>
      </c>
    </row>
    <row r="94" spans="1:13" hidden="1" x14ac:dyDescent="0.25">
      <c r="A94" s="1">
        <v>668</v>
      </c>
      <c r="B94" s="1">
        <v>668</v>
      </c>
      <c r="C94" t="s">
        <v>21</v>
      </c>
      <c r="D94" t="s">
        <v>22</v>
      </c>
      <c r="E94" t="s">
        <v>23</v>
      </c>
      <c r="F94" t="s">
        <v>52</v>
      </c>
      <c r="G94" t="s">
        <v>53</v>
      </c>
      <c r="H94" t="s">
        <v>26</v>
      </c>
      <c r="I94" t="s">
        <v>441</v>
      </c>
      <c r="J94" t="s">
        <v>442</v>
      </c>
      <c r="K94" t="s">
        <v>443</v>
      </c>
      <c r="L94" s="6" t="s">
        <v>1804</v>
      </c>
      <c r="M94" t="str">
        <f t="shared" si="1"/>
        <v>AGALLARDO@BBVA.COM,monitoreocgr1.pe@bbva.com</v>
      </c>
    </row>
    <row r="95" spans="1:13" hidden="1" x14ac:dyDescent="0.25">
      <c r="A95" s="1">
        <v>409</v>
      </c>
      <c r="B95" s="1">
        <v>409</v>
      </c>
      <c r="C95" t="s">
        <v>444</v>
      </c>
      <c r="D95" t="s">
        <v>445</v>
      </c>
      <c r="E95" t="s">
        <v>446</v>
      </c>
      <c r="F95" t="s">
        <v>33</v>
      </c>
      <c r="G95" t="s">
        <v>34</v>
      </c>
      <c r="H95" t="s">
        <v>35</v>
      </c>
      <c r="I95" t="s">
        <v>447</v>
      </c>
      <c r="J95" t="s">
        <v>448</v>
      </c>
      <c r="K95" t="s">
        <v>449</v>
      </c>
      <c r="L95" s="6" t="s">
        <v>1804</v>
      </c>
      <c r="M95" t="str">
        <f t="shared" si="1"/>
        <v>KSANDOVAL@BBVA.COM,monitoreocgr1.pe@bbva.com</v>
      </c>
    </row>
    <row r="96" spans="1:13" hidden="1" x14ac:dyDescent="0.25">
      <c r="A96" s="1">
        <v>91</v>
      </c>
      <c r="B96" s="1">
        <v>91</v>
      </c>
      <c r="C96" t="s">
        <v>450</v>
      </c>
      <c r="D96" t="s">
        <v>233</v>
      </c>
      <c r="E96" t="s">
        <v>234</v>
      </c>
      <c r="F96" t="s">
        <v>235</v>
      </c>
      <c r="G96" t="s">
        <v>236</v>
      </c>
      <c r="H96" t="s">
        <v>26</v>
      </c>
      <c r="I96" t="s">
        <v>451</v>
      </c>
      <c r="J96" t="s">
        <v>452</v>
      </c>
      <c r="K96" t="s">
        <v>453</v>
      </c>
      <c r="L96" s="6" t="s">
        <v>1804</v>
      </c>
      <c r="M96" t="str">
        <f t="shared" si="1"/>
        <v>JJGONZALES@BBVA.COM,monitoreocgr1.pe@bbva.com</v>
      </c>
    </row>
    <row r="97" spans="1:13" hidden="1" x14ac:dyDescent="0.25">
      <c r="A97" s="1">
        <v>736</v>
      </c>
      <c r="B97" s="1">
        <v>736</v>
      </c>
      <c r="C97" t="s">
        <v>454</v>
      </c>
      <c r="D97" t="s">
        <v>70</v>
      </c>
      <c r="E97" t="s">
        <v>23</v>
      </c>
      <c r="F97" t="s">
        <v>52</v>
      </c>
      <c r="G97" t="s">
        <v>53</v>
      </c>
      <c r="H97" t="s">
        <v>26</v>
      </c>
      <c r="I97" t="s">
        <v>455</v>
      </c>
      <c r="J97" t="s">
        <v>456</v>
      </c>
      <c r="K97" t="s">
        <v>457</v>
      </c>
      <c r="L97" s="6" t="s">
        <v>1804</v>
      </c>
      <c r="M97" t="str">
        <f t="shared" si="1"/>
        <v>SGUILLEN@BBVA.COM,monitoreocgr1.pe@bbva.com</v>
      </c>
    </row>
    <row r="98" spans="1:13" hidden="1" x14ac:dyDescent="0.25">
      <c r="A98" s="1">
        <v>320</v>
      </c>
      <c r="B98" s="1">
        <v>320</v>
      </c>
      <c r="C98" t="s">
        <v>458</v>
      </c>
      <c r="D98" t="s">
        <v>122</v>
      </c>
      <c r="E98" t="s">
        <v>123</v>
      </c>
      <c r="F98" t="s">
        <v>24</v>
      </c>
      <c r="G98" t="s">
        <v>25</v>
      </c>
      <c r="H98" t="s">
        <v>26</v>
      </c>
      <c r="I98" t="s">
        <v>459</v>
      </c>
      <c r="J98" t="s">
        <v>460</v>
      </c>
      <c r="K98" t="s">
        <v>461</v>
      </c>
      <c r="L98" s="6" t="s">
        <v>1804</v>
      </c>
      <c r="M98" t="str">
        <f t="shared" si="1"/>
        <v>VDOLCI@BBVA.COM,monitoreocgr1.pe@bbva.com</v>
      </c>
    </row>
    <row r="99" spans="1:13" hidden="1" x14ac:dyDescent="0.25">
      <c r="A99" s="1">
        <v>223</v>
      </c>
      <c r="B99" s="1">
        <v>223</v>
      </c>
      <c r="C99" t="s">
        <v>462</v>
      </c>
      <c r="D99" t="s">
        <v>40</v>
      </c>
      <c r="E99" t="s">
        <v>41</v>
      </c>
      <c r="F99" t="s">
        <v>24</v>
      </c>
      <c r="G99" t="s">
        <v>25</v>
      </c>
      <c r="H99" t="s">
        <v>26</v>
      </c>
      <c r="I99" t="s">
        <v>463</v>
      </c>
      <c r="J99" t="s">
        <v>464</v>
      </c>
      <c r="K99" t="s">
        <v>465</v>
      </c>
      <c r="L99" s="6" t="s">
        <v>1804</v>
      </c>
      <c r="M99" t="str">
        <f t="shared" si="1"/>
        <v>PPONCE@BBVA.COM,monitoreocgr1.pe@bbva.com</v>
      </c>
    </row>
    <row r="100" spans="1:13" hidden="1" x14ac:dyDescent="0.25">
      <c r="A100" s="1">
        <v>222</v>
      </c>
      <c r="B100" s="1">
        <v>222</v>
      </c>
      <c r="C100" t="s">
        <v>466</v>
      </c>
      <c r="D100" t="s">
        <v>40</v>
      </c>
      <c r="E100" t="s">
        <v>41</v>
      </c>
      <c r="F100" t="s">
        <v>24</v>
      </c>
      <c r="G100" t="s">
        <v>25</v>
      </c>
      <c r="H100" t="s">
        <v>26</v>
      </c>
      <c r="I100" t="s">
        <v>467</v>
      </c>
      <c r="J100" t="s">
        <v>468</v>
      </c>
      <c r="K100" t="s">
        <v>469</v>
      </c>
      <c r="L100" s="6" t="s">
        <v>1804</v>
      </c>
      <c r="M100" t="str">
        <f t="shared" si="1"/>
        <v>CBEJARANO@BBVA.COM,monitoreocgr1.pe@bbva.com</v>
      </c>
    </row>
    <row r="101" spans="1:13" hidden="1" x14ac:dyDescent="0.25">
      <c r="A101" s="1">
        <v>630</v>
      </c>
      <c r="B101" s="1">
        <v>630</v>
      </c>
      <c r="C101" t="s">
        <v>470</v>
      </c>
      <c r="D101" t="s">
        <v>282</v>
      </c>
      <c r="E101" t="s">
        <v>23</v>
      </c>
      <c r="F101" t="s">
        <v>52</v>
      </c>
      <c r="G101" t="s">
        <v>53</v>
      </c>
      <c r="H101" t="s">
        <v>26</v>
      </c>
      <c r="I101" t="s">
        <v>471</v>
      </c>
      <c r="J101" t="s">
        <v>472</v>
      </c>
      <c r="K101" t="s">
        <v>473</v>
      </c>
      <c r="L101" s="6" t="s">
        <v>1804</v>
      </c>
      <c r="M101" t="str">
        <f t="shared" si="1"/>
        <v>GIMACHADO@BBVA.COM,monitoreocgr1.pe@bbva.com</v>
      </c>
    </row>
    <row r="102" spans="1:13" hidden="1" x14ac:dyDescent="0.25">
      <c r="A102" s="1">
        <v>688</v>
      </c>
      <c r="B102" s="1">
        <v>688</v>
      </c>
      <c r="C102" t="s">
        <v>474</v>
      </c>
      <c r="D102" t="s">
        <v>40</v>
      </c>
      <c r="E102" t="s">
        <v>23</v>
      </c>
      <c r="F102" t="s">
        <v>52</v>
      </c>
      <c r="G102" t="s">
        <v>53</v>
      </c>
      <c r="H102" t="s">
        <v>26</v>
      </c>
      <c r="I102" t="s">
        <v>475</v>
      </c>
      <c r="J102" t="s">
        <v>476</v>
      </c>
      <c r="K102" t="s">
        <v>477</v>
      </c>
      <c r="L102" s="6" t="s">
        <v>1804</v>
      </c>
      <c r="M102" t="str">
        <f t="shared" si="1"/>
        <v>LMOSSONE@BBVA.COM,monitoreocgr1.pe@bbva.com</v>
      </c>
    </row>
    <row r="103" spans="1:13" hidden="1" x14ac:dyDescent="0.25">
      <c r="A103" s="1">
        <v>239</v>
      </c>
      <c r="B103" s="1">
        <v>239</v>
      </c>
      <c r="C103" t="s">
        <v>478</v>
      </c>
      <c r="D103" t="s">
        <v>31</v>
      </c>
      <c r="E103" t="s">
        <v>32</v>
      </c>
      <c r="F103" t="s">
        <v>33</v>
      </c>
      <c r="G103" t="s">
        <v>34</v>
      </c>
      <c r="H103" t="s">
        <v>35</v>
      </c>
      <c r="I103" t="s">
        <v>479</v>
      </c>
      <c r="J103" t="s">
        <v>480</v>
      </c>
      <c r="K103" t="s">
        <v>481</v>
      </c>
      <c r="L103" s="6" t="s">
        <v>1804</v>
      </c>
      <c r="M103" t="str">
        <f t="shared" si="1"/>
        <v>DRIVERO@BBVA.COM,monitoreocgr1.pe@bbva.com</v>
      </c>
    </row>
    <row r="104" spans="1:13" hidden="1" x14ac:dyDescent="0.25">
      <c r="A104" s="1">
        <v>665</v>
      </c>
      <c r="B104" s="1">
        <v>665</v>
      </c>
      <c r="C104" t="s">
        <v>482</v>
      </c>
      <c r="D104" t="s">
        <v>152</v>
      </c>
      <c r="E104" t="s">
        <v>23</v>
      </c>
      <c r="F104" t="s">
        <v>52</v>
      </c>
      <c r="G104" t="s">
        <v>53</v>
      </c>
      <c r="H104" t="s">
        <v>26</v>
      </c>
      <c r="I104" t="s">
        <v>483</v>
      </c>
      <c r="J104" t="s">
        <v>484</v>
      </c>
      <c r="K104" t="s">
        <v>485</v>
      </c>
      <c r="L104" s="6" t="s">
        <v>1804</v>
      </c>
      <c r="M104" t="str">
        <f t="shared" si="1"/>
        <v>HAMASIFUEN@BBVA.COM,monitoreocgr1.pe@bbva.com</v>
      </c>
    </row>
    <row r="105" spans="1:13" hidden="1" x14ac:dyDescent="0.25">
      <c r="A105" s="1">
        <v>301</v>
      </c>
      <c r="B105" s="1">
        <v>301</v>
      </c>
      <c r="C105" t="s">
        <v>486</v>
      </c>
      <c r="D105" t="s">
        <v>254</v>
      </c>
      <c r="E105" t="s">
        <v>312</v>
      </c>
      <c r="F105" t="s">
        <v>24</v>
      </c>
      <c r="G105" t="s">
        <v>25</v>
      </c>
      <c r="H105" t="s">
        <v>26</v>
      </c>
      <c r="I105" t="s">
        <v>487</v>
      </c>
      <c r="J105" t="s">
        <v>488</v>
      </c>
      <c r="K105" t="s">
        <v>489</v>
      </c>
      <c r="L105" s="6" t="s">
        <v>1804</v>
      </c>
      <c r="M105" t="str">
        <f t="shared" si="1"/>
        <v>JCORNEJO@BBVA.COM,monitoreocgr1.pe@bbva.com</v>
      </c>
    </row>
    <row r="106" spans="1:13" hidden="1" x14ac:dyDescent="0.25">
      <c r="A106" s="1">
        <v>733</v>
      </c>
      <c r="B106" s="1">
        <v>733</v>
      </c>
      <c r="C106" t="s">
        <v>490</v>
      </c>
      <c r="D106" t="s">
        <v>188</v>
      </c>
      <c r="E106" t="s">
        <v>189</v>
      </c>
      <c r="F106" t="s">
        <v>24</v>
      </c>
      <c r="G106" t="s">
        <v>25</v>
      </c>
      <c r="H106" t="s">
        <v>26</v>
      </c>
      <c r="I106" t="s">
        <v>491</v>
      </c>
      <c r="J106" t="s">
        <v>492</v>
      </c>
      <c r="K106" t="s">
        <v>493</v>
      </c>
      <c r="L106" s="6" t="s">
        <v>1804</v>
      </c>
      <c r="M106" t="str">
        <f t="shared" si="1"/>
        <v>RCARRILLO@BBVA.COM,monitoreocgr1.pe@bbva.com</v>
      </c>
    </row>
    <row r="107" spans="1:13" hidden="1" x14ac:dyDescent="0.25">
      <c r="A107" s="1">
        <v>285</v>
      </c>
      <c r="B107" s="1">
        <v>285</v>
      </c>
      <c r="C107" t="s">
        <v>494</v>
      </c>
      <c r="D107" t="s">
        <v>22</v>
      </c>
      <c r="E107" t="s">
        <v>345</v>
      </c>
      <c r="F107" t="s">
        <v>24</v>
      </c>
      <c r="G107" t="s">
        <v>25</v>
      </c>
      <c r="H107" t="s">
        <v>26</v>
      </c>
      <c r="I107" t="s">
        <v>495</v>
      </c>
      <c r="J107" t="s">
        <v>496</v>
      </c>
      <c r="K107" t="s">
        <v>497</v>
      </c>
      <c r="L107" s="6" t="s">
        <v>1804</v>
      </c>
      <c r="M107" t="str">
        <f t="shared" si="1"/>
        <v>JPEREZV@BBVA.COM,monitoreocgr1.pe@bbva.com</v>
      </c>
    </row>
    <row r="108" spans="1:13" hidden="1" x14ac:dyDescent="0.25">
      <c r="A108" s="1">
        <v>272</v>
      </c>
      <c r="B108" s="1">
        <v>272</v>
      </c>
      <c r="C108" t="s">
        <v>498</v>
      </c>
      <c r="D108" t="s">
        <v>188</v>
      </c>
      <c r="E108" t="s">
        <v>189</v>
      </c>
      <c r="F108" t="s">
        <v>24</v>
      </c>
      <c r="G108" t="s">
        <v>25</v>
      </c>
      <c r="H108" t="s">
        <v>26</v>
      </c>
      <c r="I108" t="s">
        <v>499</v>
      </c>
      <c r="J108" t="s">
        <v>500</v>
      </c>
      <c r="K108" t="s">
        <v>501</v>
      </c>
      <c r="L108" s="6" t="s">
        <v>1804</v>
      </c>
      <c r="M108" t="str">
        <f t="shared" si="1"/>
        <v>YSALAZAR@BBVA.COM,monitoreocgr1.pe@bbva.com</v>
      </c>
    </row>
    <row r="109" spans="1:13" hidden="1" x14ac:dyDescent="0.25">
      <c r="A109" s="1">
        <v>262</v>
      </c>
      <c r="B109" s="1">
        <v>262</v>
      </c>
      <c r="C109" t="s">
        <v>502</v>
      </c>
      <c r="D109" t="s">
        <v>178</v>
      </c>
      <c r="E109" t="s">
        <v>179</v>
      </c>
      <c r="F109" t="s">
        <v>24</v>
      </c>
      <c r="G109" t="s">
        <v>25</v>
      </c>
      <c r="H109" t="s">
        <v>26</v>
      </c>
      <c r="I109" t="s">
        <v>503</v>
      </c>
      <c r="J109" t="s">
        <v>504</v>
      </c>
      <c r="K109" t="s">
        <v>505</v>
      </c>
      <c r="L109" s="6" t="s">
        <v>1804</v>
      </c>
      <c r="M109" t="str">
        <f t="shared" si="1"/>
        <v>KCHIRINOS@BBVA.COM,monitoreocgr1.pe@bbva.com</v>
      </c>
    </row>
    <row r="110" spans="1:13" hidden="1" x14ac:dyDescent="0.25">
      <c r="A110" s="1">
        <v>486</v>
      </c>
      <c r="B110" s="1">
        <v>486</v>
      </c>
      <c r="C110" t="s">
        <v>506</v>
      </c>
      <c r="D110" t="s">
        <v>94</v>
      </c>
      <c r="E110" t="s">
        <v>95</v>
      </c>
      <c r="F110" t="s">
        <v>24</v>
      </c>
      <c r="G110" t="s">
        <v>25</v>
      </c>
      <c r="H110" t="s">
        <v>26</v>
      </c>
      <c r="I110" t="s">
        <v>507</v>
      </c>
      <c r="J110" t="s">
        <v>508</v>
      </c>
      <c r="K110" t="s">
        <v>509</v>
      </c>
      <c r="L110" s="6" t="s">
        <v>1804</v>
      </c>
      <c r="M110" t="str">
        <f t="shared" si="1"/>
        <v>JAPENALOZA@BBVA.COM,monitoreocgr1.pe@bbva.com</v>
      </c>
    </row>
    <row r="111" spans="1:13" hidden="1" x14ac:dyDescent="0.25">
      <c r="A111" s="1">
        <v>358</v>
      </c>
      <c r="B111" s="1">
        <v>358</v>
      </c>
      <c r="C111" t="s">
        <v>510</v>
      </c>
      <c r="D111" t="s">
        <v>94</v>
      </c>
      <c r="E111" t="s">
        <v>95</v>
      </c>
      <c r="F111" t="s">
        <v>24</v>
      </c>
      <c r="G111" t="s">
        <v>25</v>
      </c>
      <c r="H111" t="s">
        <v>26</v>
      </c>
      <c r="I111" t="s">
        <v>511</v>
      </c>
      <c r="J111" t="s">
        <v>512</v>
      </c>
      <c r="K111" t="s">
        <v>513</v>
      </c>
      <c r="L111" s="6" t="s">
        <v>1804</v>
      </c>
      <c r="M111" t="str">
        <f t="shared" si="1"/>
        <v>CVIGO@BBVA.COM,monitoreocgr1.pe@bbva.com</v>
      </c>
    </row>
    <row r="112" spans="1:13" hidden="1" x14ac:dyDescent="0.25">
      <c r="A112" s="1">
        <v>654</v>
      </c>
      <c r="B112" s="1">
        <v>654</v>
      </c>
      <c r="C112" t="s">
        <v>514</v>
      </c>
      <c r="D112" t="s">
        <v>188</v>
      </c>
      <c r="E112" t="s">
        <v>189</v>
      </c>
      <c r="F112" t="s">
        <v>24</v>
      </c>
      <c r="G112" t="s">
        <v>25</v>
      </c>
      <c r="H112" t="s">
        <v>26</v>
      </c>
      <c r="I112" t="s">
        <v>515</v>
      </c>
      <c r="J112" t="s">
        <v>516</v>
      </c>
      <c r="K112" t="s">
        <v>517</v>
      </c>
      <c r="L112" s="6" t="s">
        <v>1804</v>
      </c>
      <c r="M112" t="str">
        <f t="shared" si="1"/>
        <v>CETORRES@BBVA.COM,monitoreocgr1.pe@bbva.com</v>
      </c>
    </row>
    <row r="113" spans="1:13" hidden="1" x14ac:dyDescent="0.25">
      <c r="A113" s="1">
        <v>155</v>
      </c>
      <c r="B113" s="1">
        <v>155</v>
      </c>
      <c r="C113" t="s">
        <v>518</v>
      </c>
      <c r="D113" t="s">
        <v>152</v>
      </c>
      <c r="E113" t="s">
        <v>153</v>
      </c>
      <c r="F113" t="s">
        <v>24</v>
      </c>
      <c r="G113" t="s">
        <v>25</v>
      </c>
      <c r="H113" t="s">
        <v>26</v>
      </c>
      <c r="I113" t="s">
        <v>519</v>
      </c>
      <c r="J113" t="s">
        <v>520</v>
      </c>
      <c r="K113" t="s">
        <v>521</v>
      </c>
      <c r="L113" s="6" t="s">
        <v>1804</v>
      </c>
      <c r="M113" t="str">
        <f t="shared" si="1"/>
        <v>CGUERRAR@BBVA.COM,monitoreocgr1.pe@bbva.com</v>
      </c>
    </row>
    <row r="114" spans="1:13" hidden="1" x14ac:dyDescent="0.25">
      <c r="A114" s="1">
        <v>717</v>
      </c>
      <c r="B114" s="1">
        <v>717</v>
      </c>
      <c r="C114" t="s">
        <v>522</v>
      </c>
      <c r="D114" t="s">
        <v>40</v>
      </c>
      <c r="E114" t="s">
        <v>41</v>
      </c>
      <c r="F114" t="s">
        <v>24</v>
      </c>
      <c r="G114" t="s">
        <v>25</v>
      </c>
      <c r="H114" t="s">
        <v>26</v>
      </c>
      <c r="I114" t="s">
        <v>523</v>
      </c>
      <c r="J114" t="s">
        <v>524</v>
      </c>
      <c r="K114" t="s">
        <v>525</v>
      </c>
      <c r="L114" s="6" t="s">
        <v>1804</v>
      </c>
      <c r="M114" t="str">
        <f t="shared" si="1"/>
        <v>CGAMBARINI@BBVA.COM,monitoreocgr1.pe@bbva.com</v>
      </c>
    </row>
    <row r="115" spans="1:13" hidden="1" x14ac:dyDescent="0.25">
      <c r="A115" s="1">
        <v>106</v>
      </c>
      <c r="B115" s="1">
        <v>106</v>
      </c>
      <c r="C115" t="s">
        <v>526</v>
      </c>
      <c r="D115" t="s">
        <v>178</v>
      </c>
      <c r="E115" t="s">
        <v>179</v>
      </c>
      <c r="F115" t="s">
        <v>24</v>
      </c>
      <c r="G115" t="s">
        <v>25</v>
      </c>
      <c r="H115" t="s">
        <v>26</v>
      </c>
      <c r="I115" t="s">
        <v>527</v>
      </c>
      <c r="J115" t="s">
        <v>528</v>
      </c>
      <c r="K115" t="s">
        <v>529</v>
      </c>
      <c r="L115" s="6" t="s">
        <v>1804</v>
      </c>
      <c r="M115" t="str">
        <f t="shared" si="1"/>
        <v>MBRAVO@BBVA.COM,monitoreocgr1.pe@bbva.com</v>
      </c>
    </row>
    <row r="116" spans="1:13" hidden="1" x14ac:dyDescent="0.25">
      <c r="A116" s="1">
        <v>367</v>
      </c>
      <c r="B116" s="1">
        <v>367</v>
      </c>
      <c r="C116" t="s">
        <v>530</v>
      </c>
      <c r="D116" t="s">
        <v>112</v>
      </c>
      <c r="E116" t="s">
        <v>113</v>
      </c>
      <c r="F116" t="s">
        <v>24</v>
      </c>
      <c r="G116" t="s">
        <v>25</v>
      </c>
      <c r="H116" t="s">
        <v>26</v>
      </c>
      <c r="I116" t="s">
        <v>531</v>
      </c>
      <c r="J116" t="s">
        <v>532</v>
      </c>
      <c r="K116" t="s">
        <v>533</v>
      </c>
      <c r="L116" s="6" t="s">
        <v>1804</v>
      </c>
      <c r="M116" t="str">
        <f t="shared" si="1"/>
        <v>APOGGI@BBVA.COM,monitoreocgr1.pe@bbva.com</v>
      </c>
    </row>
    <row r="117" spans="1:13" hidden="1" x14ac:dyDescent="0.25">
      <c r="A117" s="1">
        <v>267</v>
      </c>
      <c r="B117" s="1">
        <v>267</v>
      </c>
      <c r="C117" t="s">
        <v>534</v>
      </c>
      <c r="D117" t="s">
        <v>22</v>
      </c>
      <c r="E117" t="s">
        <v>345</v>
      </c>
      <c r="F117" t="s">
        <v>24</v>
      </c>
      <c r="G117" t="s">
        <v>25</v>
      </c>
      <c r="H117" t="s">
        <v>26</v>
      </c>
      <c r="I117" t="s">
        <v>535</v>
      </c>
      <c r="J117" t="s">
        <v>536</v>
      </c>
      <c r="K117" t="s">
        <v>537</v>
      </c>
      <c r="L117" s="6" t="s">
        <v>1804</v>
      </c>
      <c r="M117" t="str">
        <f t="shared" si="1"/>
        <v>VCARDENASA@BBVA.COM,monitoreocgr1.pe@bbva.com</v>
      </c>
    </row>
    <row r="118" spans="1:13" hidden="1" x14ac:dyDescent="0.25">
      <c r="A118" s="1">
        <v>342</v>
      </c>
      <c r="B118" s="1">
        <v>342</v>
      </c>
      <c r="C118" t="s">
        <v>538</v>
      </c>
      <c r="D118" t="s">
        <v>188</v>
      </c>
      <c r="E118" t="s">
        <v>189</v>
      </c>
      <c r="F118" t="s">
        <v>24</v>
      </c>
      <c r="G118" t="s">
        <v>25</v>
      </c>
      <c r="H118" t="s">
        <v>26</v>
      </c>
      <c r="I118" t="s">
        <v>539</v>
      </c>
      <c r="J118" t="s">
        <v>540</v>
      </c>
      <c r="K118" t="s">
        <v>541</v>
      </c>
      <c r="L118" s="6" t="s">
        <v>1804</v>
      </c>
      <c r="M118" t="str">
        <f t="shared" si="1"/>
        <v>KROJASG@BBVA.COM,monitoreocgr1.pe@bbva.com</v>
      </c>
    </row>
    <row r="119" spans="1:13" hidden="1" x14ac:dyDescent="0.25">
      <c r="A119" s="1">
        <v>225</v>
      </c>
      <c r="B119" s="1">
        <v>225</v>
      </c>
      <c r="C119" t="s">
        <v>542</v>
      </c>
      <c r="D119" t="s">
        <v>40</v>
      </c>
      <c r="E119" t="s">
        <v>41</v>
      </c>
      <c r="F119" t="s">
        <v>24</v>
      </c>
      <c r="G119" t="s">
        <v>25</v>
      </c>
      <c r="H119" t="s">
        <v>26</v>
      </c>
      <c r="I119" t="s">
        <v>543</v>
      </c>
      <c r="J119" t="s">
        <v>544</v>
      </c>
      <c r="K119" t="s">
        <v>545</v>
      </c>
      <c r="L119" s="6" t="s">
        <v>1804</v>
      </c>
      <c r="M119" t="str">
        <f t="shared" si="1"/>
        <v>ROSAELENA.PINTO@BBVA.COM,monitoreocgr1.pe@bbva.com</v>
      </c>
    </row>
    <row r="120" spans="1:13" hidden="1" x14ac:dyDescent="0.25">
      <c r="A120" s="1">
        <v>147</v>
      </c>
      <c r="B120" s="1">
        <v>147</v>
      </c>
      <c r="C120" t="s">
        <v>546</v>
      </c>
      <c r="D120" t="s">
        <v>122</v>
      </c>
      <c r="E120" t="s">
        <v>123</v>
      </c>
      <c r="F120" t="s">
        <v>24</v>
      </c>
      <c r="G120" t="s">
        <v>25</v>
      </c>
      <c r="H120" t="s">
        <v>26</v>
      </c>
      <c r="I120" t="s">
        <v>547</v>
      </c>
      <c r="J120" t="s">
        <v>548</v>
      </c>
      <c r="K120" t="s">
        <v>549</v>
      </c>
      <c r="L120" s="6" t="s">
        <v>1804</v>
      </c>
      <c r="M120" t="str">
        <f t="shared" si="1"/>
        <v>ALINGAN@BBVA.COM,monitoreocgr1.pe@bbva.com</v>
      </c>
    </row>
    <row r="121" spans="1:13" hidden="1" x14ac:dyDescent="0.25">
      <c r="A121" s="1">
        <v>751</v>
      </c>
      <c r="B121" s="1">
        <v>751</v>
      </c>
      <c r="C121" t="s">
        <v>550</v>
      </c>
      <c r="D121" t="s">
        <v>178</v>
      </c>
      <c r="E121" t="s">
        <v>179</v>
      </c>
      <c r="F121" t="s">
        <v>24</v>
      </c>
      <c r="G121" t="s">
        <v>25</v>
      </c>
      <c r="H121" t="s">
        <v>26</v>
      </c>
      <c r="I121" t="s">
        <v>551</v>
      </c>
      <c r="J121" t="s">
        <v>552</v>
      </c>
      <c r="K121" t="s">
        <v>553</v>
      </c>
      <c r="L121" s="6" t="s">
        <v>1804</v>
      </c>
      <c r="M121" t="str">
        <f t="shared" si="1"/>
        <v>SSOLANO@BBVA.COM,monitoreocgr1.pe@bbva.com</v>
      </c>
    </row>
    <row r="122" spans="1:13" hidden="1" x14ac:dyDescent="0.25">
      <c r="A122" s="1">
        <v>5</v>
      </c>
      <c r="B122" s="1">
        <v>5</v>
      </c>
      <c r="C122" t="s">
        <v>554</v>
      </c>
      <c r="D122" t="s">
        <v>188</v>
      </c>
      <c r="E122" t="s">
        <v>189</v>
      </c>
      <c r="F122" t="s">
        <v>24</v>
      </c>
      <c r="G122" t="s">
        <v>25</v>
      </c>
      <c r="H122" t="s">
        <v>26</v>
      </c>
      <c r="I122" t="s">
        <v>555</v>
      </c>
      <c r="J122" t="s">
        <v>556</v>
      </c>
      <c r="K122" t="s">
        <v>557</v>
      </c>
      <c r="L122" s="6" t="s">
        <v>1804</v>
      </c>
      <c r="M122" t="str">
        <f t="shared" si="1"/>
        <v>KGALVEZ@BBVA.COM,monitoreocgr1.pe@bbva.com</v>
      </c>
    </row>
    <row r="123" spans="1:13" hidden="1" x14ac:dyDescent="0.25">
      <c r="A123" s="1">
        <v>273</v>
      </c>
      <c r="B123" s="1">
        <v>273</v>
      </c>
      <c r="C123" t="s">
        <v>558</v>
      </c>
      <c r="D123" t="s">
        <v>188</v>
      </c>
      <c r="E123" t="s">
        <v>189</v>
      </c>
      <c r="F123" t="s">
        <v>24</v>
      </c>
      <c r="G123" t="s">
        <v>25</v>
      </c>
      <c r="H123" t="s">
        <v>26</v>
      </c>
      <c r="I123" t="s">
        <v>559</v>
      </c>
      <c r="J123" t="s">
        <v>560</v>
      </c>
      <c r="K123" t="s">
        <v>561</v>
      </c>
      <c r="L123" s="6" t="s">
        <v>1804</v>
      </c>
      <c r="M123" t="str">
        <f t="shared" si="1"/>
        <v>SESQUIVEL@BBVA.COM,monitoreocgr1.pe@bbva.com</v>
      </c>
    </row>
    <row r="124" spans="1:13" hidden="1" x14ac:dyDescent="0.25">
      <c r="A124" s="1">
        <v>87</v>
      </c>
      <c r="B124" s="1">
        <v>87</v>
      </c>
      <c r="C124" t="s">
        <v>562</v>
      </c>
      <c r="D124" t="s">
        <v>22</v>
      </c>
      <c r="E124" t="s">
        <v>345</v>
      </c>
      <c r="F124" t="s">
        <v>24</v>
      </c>
      <c r="G124" t="s">
        <v>25</v>
      </c>
      <c r="H124" t="s">
        <v>26</v>
      </c>
      <c r="I124" t="s">
        <v>563</v>
      </c>
      <c r="J124" t="s">
        <v>564</v>
      </c>
      <c r="K124" t="s">
        <v>565</v>
      </c>
      <c r="L124" s="6" t="s">
        <v>1804</v>
      </c>
      <c r="M124" t="str">
        <f t="shared" si="1"/>
        <v>JBARRIENTOS@BBVA.COM,monitoreocgr1.pe@bbva.com</v>
      </c>
    </row>
    <row r="125" spans="1:13" hidden="1" x14ac:dyDescent="0.25">
      <c r="A125" s="1">
        <v>295</v>
      </c>
      <c r="B125" s="1">
        <v>295</v>
      </c>
      <c r="C125" t="s">
        <v>566</v>
      </c>
      <c r="D125" t="s">
        <v>188</v>
      </c>
      <c r="E125" t="s">
        <v>189</v>
      </c>
      <c r="F125" t="s">
        <v>24</v>
      </c>
      <c r="G125" t="s">
        <v>25</v>
      </c>
      <c r="H125" t="s">
        <v>26</v>
      </c>
      <c r="I125" t="s">
        <v>567</v>
      </c>
      <c r="J125" t="s">
        <v>568</v>
      </c>
      <c r="K125" t="s">
        <v>569</v>
      </c>
      <c r="L125" s="6" t="s">
        <v>1804</v>
      </c>
      <c r="M125" t="str">
        <f t="shared" si="1"/>
        <v>KSAGASTEGUI@BBVA.COM,monitoreocgr1.pe@bbva.com</v>
      </c>
    </row>
    <row r="126" spans="1:13" hidden="1" x14ac:dyDescent="0.25">
      <c r="A126" s="1">
        <v>778</v>
      </c>
      <c r="B126" s="1">
        <v>778</v>
      </c>
      <c r="C126" t="s">
        <v>570</v>
      </c>
      <c r="D126" t="s">
        <v>40</v>
      </c>
      <c r="E126" t="s">
        <v>41</v>
      </c>
      <c r="F126" t="s">
        <v>24</v>
      </c>
      <c r="G126" t="s">
        <v>25</v>
      </c>
      <c r="H126" t="s">
        <v>26</v>
      </c>
      <c r="I126" t="s">
        <v>571</v>
      </c>
      <c r="J126" t="s">
        <v>572</v>
      </c>
      <c r="K126" t="s">
        <v>573</v>
      </c>
      <c r="L126" s="6" t="s">
        <v>1804</v>
      </c>
      <c r="M126" t="str">
        <f t="shared" si="1"/>
        <v>EBENITES@BBVA.COM,monitoreocgr1.pe@bbva.com</v>
      </c>
    </row>
    <row r="127" spans="1:13" hidden="1" x14ac:dyDescent="0.25">
      <c r="A127" s="1">
        <v>260</v>
      </c>
      <c r="B127" s="1">
        <v>260</v>
      </c>
      <c r="C127" t="s">
        <v>574</v>
      </c>
      <c r="D127" t="s">
        <v>254</v>
      </c>
      <c r="E127" t="s">
        <v>312</v>
      </c>
      <c r="F127" t="s">
        <v>24</v>
      </c>
      <c r="G127" t="s">
        <v>25</v>
      </c>
      <c r="H127" t="s">
        <v>26</v>
      </c>
      <c r="I127" t="s">
        <v>575</v>
      </c>
      <c r="J127" t="s">
        <v>576</v>
      </c>
      <c r="K127" t="s">
        <v>577</v>
      </c>
      <c r="L127" s="6" t="s">
        <v>1804</v>
      </c>
      <c r="M127" t="str">
        <f t="shared" si="1"/>
        <v>JALVA@BBVA.COM,monitoreocgr1.pe@bbva.com</v>
      </c>
    </row>
    <row r="128" spans="1:13" hidden="1" x14ac:dyDescent="0.25">
      <c r="A128" s="1">
        <v>310</v>
      </c>
      <c r="B128" s="1">
        <v>310</v>
      </c>
      <c r="C128" t="s">
        <v>578</v>
      </c>
      <c r="D128" t="s">
        <v>254</v>
      </c>
      <c r="E128" t="s">
        <v>312</v>
      </c>
      <c r="F128" t="s">
        <v>24</v>
      </c>
      <c r="G128" t="s">
        <v>25</v>
      </c>
      <c r="H128" t="s">
        <v>26</v>
      </c>
      <c r="I128" t="s">
        <v>579</v>
      </c>
      <c r="J128" t="s">
        <v>580</v>
      </c>
      <c r="K128" t="s">
        <v>581</v>
      </c>
      <c r="L128" s="6" t="s">
        <v>1804</v>
      </c>
      <c r="M128" t="str">
        <f t="shared" si="1"/>
        <v>CDOCUMET@BBVA.COM,monitoreocgr1.pe@bbva.com</v>
      </c>
    </row>
    <row r="129" spans="1:13" hidden="1" x14ac:dyDescent="0.25">
      <c r="A129" s="1">
        <v>135</v>
      </c>
      <c r="B129" s="1">
        <v>135</v>
      </c>
      <c r="C129" t="s">
        <v>582</v>
      </c>
      <c r="D129" t="s">
        <v>282</v>
      </c>
      <c r="E129" t="s">
        <v>283</v>
      </c>
      <c r="F129" t="s">
        <v>24</v>
      </c>
      <c r="G129" t="s">
        <v>25</v>
      </c>
      <c r="H129" t="s">
        <v>26</v>
      </c>
      <c r="I129" t="s">
        <v>583</v>
      </c>
      <c r="J129" t="s">
        <v>584</v>
      </c>
      <c r="K129" t="s">
        <v>585</v>
      </c>
      <c r="L129" s="6" t="s">
        <v>1804</v>
      </c>
      <c r="M129" t="str">
        <f t="shared" si="1"/>
        <v>JLGALVEZ@BBVA.COM,monitoreocgr1.pe@bbva.com</v>
      </c>
    </row>
    <row r="130" spans="1:13" hidden="1" x14ac:dyDescent="0.25">
      <c r="A130" s="1">
        <v>125</v>
      </c>
      <c r="B130" s="1">
        <v>125</v>
      </c>
      <c r="C130" t="s">
        <v>586</v>
      </c>
      <c r="D130" t="s">
        <v>282</v>
      </c>
      <c r="E130" t="s">
        <v>283</v>
      </c>
      <c r="F130" t="s">
        <v>24</v>
      </c>
      <c r="G130" t="s">
        <v>25</v>
      </c>
      <c r="H130" t="s">
        <v>26</v>
      </c>
      <c r="I130" t="s">
        <v>587</v>
      </c>
      <c r="J130" t="s">
        <v>588</v>
      </c>
      <c r="K130" t="s">
        <v>589</v>
      </c>
      <c r="L130" s="6" t="s">
        <v>1804</v>
      </c>
      <c r="M130" t="str">
        <f t="shared" si="1"/>
        <v>VTOSCANO@BBVA.COM,monitoreocgr1.pe@bbva.com</v>
      </c>
    </row>
    <row r="131" spans="1:13" hidden="1" x14ac:dyDescent="0.25">
      <c r="A131" s="1">
        <v>142</v>
      </c>
      <c r="B131" s="1">
        <v>142</v>
      </c>
      <c r="C131" t="s">
        <v>590</v>
      </c>
      <c r="D131" t="s">
        <v>94</v>
      </c>
      <c r="E131" t="s">
        <v>95</v>
      </c>
      <c r="F131" t="s">
        <v>24</v>
      </c>
      <c r="G131" t="s">
        <v>25</v>
      </c>
      <c r="H131" t="s">
        <v>26</v>
      </c>
      <c r="I131" t="s">
        <v>591</v>
      </c>
      <c r="J131" t="s">
        <v>592</v>
      </c>
      <c r="K131" t="s">
        <v>593</v>
      </c>
      <c r="L131" s="6" t="s">
        <v>1804</v>
      </c>
      <c r="M131" t="str">
        <f t="shared" ref="M131:M194" si="2">CONCATENATE(K131,",",L131)</f>
        <v>RVALVERDEB@BBVA.COM,monitoreocgr1.pe@bbva.com</v>
      </c>
    </row>
    <row r="132" spans="1:13" x14ac:dyDescent="0.25">
      <c r="A132" s="1">
        <v>131</v>
      </c>
      <c r="B132" s="1">
        <v>131</v>
      </c>
      <c r="C132" t="s">
        <v>594</v>
      </c>
      <c r="D132" t="s">
        <v>70</v>
      </c>
      <c r="E132" t="s">
        <v>71</v>
      </c>
      <c r="F132" t="s">
        <v>24</v>
      </c>
      <c r="G132" t="s">
        <v>25</v>
      </c>
      <c r="H132" t="s">
        <v>26</v>
      </c>
      <c r="I132" t="s">
        <v>595</v>
      </c>
      <c r="J132" t="s">
        <v>596</v>
      </c>
      <c r="K132" t="s">
        <v>597</v>
      </c>
      <c r="L132" s="6" t="s">
        <v>1804</v>
      </c>
      <c r="M132" t="str">
        <f t="shared" si="2"/>
        <v>MREYNALDE@BBVA.COM,monitoreocgr1.pe@bbva.com</v>
      </c>
    </row>
    <row r="133" spans="1:13" hidden="1" x14ac:dyDescent="0.25">
      <c r="A133" s="1" t="s">
        <v>598</v>
      </c>
      <c r="B133" s="1">
        <v>6097</v>
      </c>
      <c r="C133" t="s">
        <v>599</v>
      </c>
      <c r="D133" t="s">
        <v>210</v>
      </c>
      <c r="E133" t="s">
        <v>600</v>
      </c>
      <c r="F133" t="s">
        <v>601</v>
      </c>
      <c r="G133" t="s">
        <v>602</v>
      </c>
      <c r="H133" t="s">
        <v>35</v>
      </c>
      <c r="I133" t="s">
        <v>603</v>
      </c>
      <c r="J133" t="s">
        <v>604</v>
      </c>
      <c r="K133" t="s">
        <v>605</v>
      </c>
      <c r="L133" s="6" t="s">
        <v>1804</v>
      </c>
      <c r="M133" t="str">
        <f t="shared" si="2"/>
        <v>ODIEZ@BBVA.COM,monitoreocgr1.pe@bbva.com</v>
      </c>
    </row>
    <row r="134" spans="1:13" hidden="1" x14ac:dyDescent="0.25">
      <c r="A134" s="1">
        <v>368</v>
      </c>
      <c r="B134" s="1">
        <v>368</v>
      </c>
      <c r="C134" t="s">
        <v>606</v>
      </c>
      <c r="D134" t="s">
        <v>112</v>
      </c>
      <c r="E134" t="s">
        <v>113</v>
      </c>
      <c r="F134" t="s">
        <v>24</v>
      </c>
      <c r="G134" t="s">
        <v>25</v>
      </c>
      <c r="H134" t="s">
        <v>26</v>
      </c>
      <c r="I134" t="s">
        <v>607</v>
      </c>
      <c r="J134" t="s">
        <v>608</v>
      </c>
      <c r="K134" t="s">
        <v>609</v>
      </c>
      <c r="L134" s="6" t="s">
        <v>1804</v>
      </c>
      <c r="M134" t="str">
        <f t="shared" si="2"/>
        <v>KFLORES@BBVA.COM,monitoreocgr1.pe@bbva.com</v>
      </c>
    </row>
    <row r="135" spans="1:13" hidden="1" x14ac:dyDescent="0.25">
      <c r="A135" s="1">
        <v>353</v>
      </c>
      <c r="B135" s="1">
        <v>353</v>
      </c>
      <c r="C135" t="s">
        <v>610</v>
      </c>
      <c r="D135" t="s">
        <v>122</v>
      </c>
      <c r="E135" t="s">
        <v>123</v>
      </c>
      <c r="F135" t="s">
        <v>24</v>
      </c>
      <c r="G135" t="s">
        <v>25</v>
      </c>
      <c r="H135" t="s">
        <v>26</v>
      </c>
      <c r="I135" t="s">
        <v>611</v>
      </c>
      <c r="J135" t="s">
        <v>612</v>
      </c>
      <c r="K135" t="s">
        <v>613</v>
      </c>
      <c r="L135" s="6" t="s">
        <v>1804</v>
      </c>
      <c r="M135" t="str">
        <f t="shared" si="2"/>
        <v>SVILLAGOMEZ@BBVA.COM,monitoreocgr1.pe@bbva.com</v>
      </c>
    </row>
    <row r="136" spans="1:13" hidden="1" x14ac:dyDescent="0.25">
      <c r="A136" s="1">
        <v>228</v>
      </c>
      <c r="B136" s="1">
        <v>228</v>
      </c>
      <c r="C136" t="s">
        <v>614</v>
      </c>
      <c r="D136" t="s">
        <v>40</v>
      </c>
      <c r="E136" t="s">
        <v>41</v>
      </c>
      <c r="F136" t="s">
        <v>24</v>
      </c>
      <c r="G136" t="s">
        <v>25</v>
      </c>
      <c r="H136" t="s">
        <v>26</v>
      </c>
      <c r="I136" t="s">
        <v>615</v>
      </c>
      <c r="J136" t="s">
        <v>616</v>
      </c>
      <c r="K136" t="s">
        <v>617</v>
      </c>
      <c r="L136" s="6" t="s">
        <v>1804</v>
      </c>
      <c r="M136" t="str">
        <f t="shared" si="2"/>
        <v>CHALLASI@BBVA.COM,monitoreocgr1.pe@bbva.com</v>
      </c>
    </row>
    <row r="137" spans="1:13" hidden="1" x14ac:dyDescent="0.25">
      <c r="A137" s="1">
        <v>232</v>
      </c>
      <c r="B137" s="1">
        <v>232</v>
      </c>
      <c r="C137" t="s">
        <v>618</v>
      </c>
      <c r="D137" t="s">
        <v>40</v>
      </c>
      <c r="E137" t="s">
        <v>41</v>
      </c>
      <c r="F137" t="s">
        <v>24</v>
      </c>
      <c r="G137" t="s">
        <v>25</v>
      </c>
      <c r="H137" t="s">
        <v>26</v>
      </c>
      <c r="I137" t="s">
        <v>619</v>
      </c>
      <c r="J137" t="s">
        <v>620</v>
      </c>
      <c r="K137" t="s">
        <v>621</v>
      </c>
      <c r="L137" s="6" t="s">
        <v>1804</v>
      </c>
      <c r="M137" t="str">
        <f t="shared" si="2"/>
        <v>CZAMORA@BBVA.COM,monitoreocgr1.pe@bbva.com</v>
      </c>
    </row>
    <row r="138" spans="1:13" hidden="1" x14ac:dyDescent="0.25">
      <c r="A138" s="1">
        <v>179</v>
      </c>
      <c r="B138" s="1">
        <v>179</v>
      </c>
      <c r="C138" t="s">
        <v>622</v>
      </c>
      <c r="D138" t="s">
        <v>112</v>
      </c>
      <c r="E138" t="s">
        <v>113</v>
      </c>
      <c r="F138" t="s">
        <v>24</v>
      </c>
      <c r="G138" t="s">
        <v>25</v>
      </c>
      <c r="H138" t="s">
        <v>26</v>
      </c>
      <c r="I138" t="s">
        <v>623</v>
      </c>
      <c r="J138" t="s">
        <v>624</v>
      </c>
      <c r="K138" t="s">
        <v>625</v>
      </c>
      <c r="L138" s="6" t="s">
        <v>1804</v>
      </c>
      <c r="M138" t="str">
        <f t="shared" si="2"/>
        <v>MREDHEAD@BBVA.COM,monitoreocgr1.pe@bbva.com</v>
      </c>
    </row>
    <row r="139" spans="1:13" hidden="1" x14ac:dyDescent="0.25">
      <c r="A139" s="1">
        <v>891</v>
      </c>
      <c r="B139" s="1">
        <v>891</v>
      </c>
      <c r="C139" t="s">
        <v>626</v>
      </c>
      <c r="D139" t="s">
        <v>254</v>
      </c>
      <c r="E139" t="s">
        <v>312</v>
      </c>
      <c r="F139" t="s">
        <v>24</v>
      </c>
      <c r="G139" t="s">
        <v>25</v>
      </c>
      <c r="H139" t="s">
        <v>26</v>
      </c>
      <c r="I139" t="s">
        <v>627</v>
      </c>
      <c r="J139" t="s">
        <v>628</v>
      </c>
      <c r="K139" t="s">
        <v>629</v>
      </c>
      <c r="L139" s="6" t="s">
        <v>1804</v>
      </c>
      <c r="M139" t="str">
        <f t="shared" si="2"/>
        <v>MDELAGUILA@BBVA.COM,monitoreocgr1.pe@bbva.com</v>
      </c>
    </row>
    <row r="140" spans="1:13" hidden="1" x14ac:dyDescent="0.25">
      <c r="A140" s="1">
        <v>264</v>
      </c>
      <c r="B140" s="1">
        <v>264</v>
      </c>
      <c r="C140" t="s">
        <v>630</v>
      </c>
      <c r="D140" t="s">
        <v>188</v>
      </c>
      <c r="E140" t="s">
        <v>189</v>
      </c>
      <c r="F140" t="s">
        <v>24</v>
      </c>
      <c r="G140" t="s">
        <v>25</v>
      </c>
      <c r="H140" t="s">
        <v>26</v>
      </c>
      <c r="I140" t="s">
        <v>631</v>
      </c>
      <c r="J140" t="s">
        <v>632</v>
      </c>
      <c r="K140" t="s">
        <v>633</v>
      </c>
      <c r="L140" s="6" t="s">
        <v>1804</v>
      </c>
      <c r="M140" t="str">
        <f t="shared" si="2"/>
        <v>KSAAVEDRA@BBVA.COM,monitoreocgr1.pe@bbva.com</v>
      </c>
    </row>
    <row r="141" spans="1:13" hidden="1" x14ac:dyDescent="0.25">
      <c r="A141" s="1">
        <v>734</v>
      </c>
      <c r="B141" s="1">
        <v>734</v>
      </c>
      <c r="C141" t="s">
        <v>634</v>
      </c>
      <c r="D141" t="s">
        <v>94</v>
      </c>
      <c r="E141" t="s">
        <v>23</v>
      </c>
      <c r="F141" t="s">
        <v>52</v>
      </c>
      <c r="G141" t="s">
        <v>53</v>
      </c>
      <c r="H141" t="s">
        <v>26</v>
      </c>
      <c r="I141" t="s">
        <v>635</v>
      </c>
      <c r="J141" t="s">
        <v>636</v>
      </c>
      <c r="K141" t="s">
        <v>637</v>
      </c>
      <c r="L141" s="6" t="s">
        <v>1804</v>
      </c>
      <c r="M141" t="str">
        <f t="shared" si="2"/>
        <v>EHUAMAN@BBVA.COM,monitoreocgr1.pe@bbva.com</v>
      </c>
    </row>
    <row r="142" spans="1:13" hidden="1" x14ac:dyDescent="0.25">
      <c r="A142" s="1">
        <v>152</v>
      </c>
      <c r="B142" s="1">
        <v>152</v>
      </c>
      <c r="C142" t="s">
        <v>638</v>
      </c>
      <c r="D142" t="s">
        <v>94</v>
      </c>
      <c r="E142" t="s">
        <v>95</v>
      </c>
      <c r="F142" t="s">
        <v>24</v>
      </c>
      <c r="G142" t="s">
        <v>25</v>
      </c>
      <c r="H142" t="s">
        <v>26</v>
      </c>
      <c r="I142" t="s">
        <v>639</v>
      </c>
      <c r="J142" t="s">
        <v>640</v>
      </c>
      <c r="K142" t="s">
        <v>641</v>
      </c>
      <c r="L142" s="6" t="s">
        <v>1804</v>
      </c>
      <c r="M142" t="str">
        <f t="shared" si="2"/>
        <v>KMONTERO@BBVA.COM,monitoreocgr1.pe@bbva.com</v>
      </c>
    </row>
    <row r="143" spans="1:13" hidden="1" x14ac:dyDescent="0.25">
      <c r="A143" s="1">
        <v>218</v>
      </c>
      <c r="B143" s="1">
        <v>218</v>
      </c>
      <c r="C143" t="s">
        <v>642</v>
      </c>
      <c r="D143" t="s">
        <v>40</v>
      </c>
      <c r="E143" t="s">
        <v>41</v>
      </c>
      <c r="F143" t="s">
        <v>24</v>
      </c>
      <c r="G143" t="s">
        <v>25</v>
      </c>
      <c r="H143" t="s">
        <v>26</v>
      </c>
      <c r="I143" t="s">
        <v>643</v>
      </c>
      <c r="J143" t="s">
        <v>644</v>
      </c>
      <c r="K143" t="s">
        <v>645</v>
      </c>
      <c r="L143" s="6" t="s">
        <v>1804</v>
      </c>
      <c r="M143" t="str">
        <f t="shared" si="2"/>
        <v>PCALLA@BBVA.COM,monitoreocgr1.pe@bbva.com</v>
      </c>
    </row>
    <row r="144" spans="1:13" hidden="1" x14ac:dyDescent="0.25">
      <c r="A144" s="1">
        <v>876</v>
      </c>
      <c r="B144" s="1">
        <v>876</v>
      </c>
      <c r="C144" t="s">
        <v>646</v>
      </c>
      <c r="D144" t="s">
        <v>122</v>
      </c>
      <c r="E144" t="s">
        <v>123</v>
      </c>
      <c r="F144" t="s">
        <v>24</v>
      </c>
      <c r="G144" t="s">
        <v>25</v>
      </c>
      <c r="H144" t="s">
        <v>26</v>
      </c>
      <c r="I144" t="s">
        <v>647</v>
      </c>
      <c r="J144" t="s">
        <v>648</v>
      </c>
      <c r="K144" t="s">
        <v>649</v>
      </c>
      <c r="L144" s="6" t="s">
        <v>1804</v>
      </c>
      <c r="M144" t="str">
        <f t="shared" si="2"/>
        <v>GARROYO@BBVA.COM,monitoreocgr1.pe@bbva.com</v>
      </c>
    </row>
    <row r="145" spans="1:13" hidden="1" x14ac:dyDescent="0.25">
      <c r="A145" s="1">
        <v>190</v>
      </c>
      <c r="B145" s="1">
        <v>190</v>
      </c>
      <c r="C145" t="s">
        <v>650</v>
      </c>
      <c r="D145" t="s">
        <v>46</v>
      </c>
      <c r="E145" t="s">
        <v>47</v>
      </c>
      <c r="F145" t="s">
        <v>24</v>
      </c>
      <c r="G145" t="s">
        <v>25</v>
      </c>
      <c r="H145" t="s">
        <v>26</v>
      </c>
      <c r="I145" t="s">
        <v>651</v>
      </c>
      <c r="J145" t="s">
        <v>652</v>
      </c>
      <c r="K145" t="s">
        <v>653</v>
      </c>
      <c r="L145" s="6" t="s">
        <v>1804</v>
      </c>
      <c r="M145" t="str">
        <f t="shared" si="2"/>
        <v>TRODRIGUEZ@BBVA.COM,monitoreocgr1.pe@bbva.com</v>
      </c>
    </row>
    <row r="146" spans="1:13" hidden="1" x14ac:dyDescent="0.25">
      <c r="A146" s="1">
        <v>752</v>
      </c>
      <c r="B146" s="1">
        <v>752</v>
      </c>
      <c r="C146" t="s">
        <v>654</v>
      </c>
      <c r="D146" t="s">
        <v>188</v>
      </c>
      <c r="E146" t="s">
        <v>189</v>
      </c>
      <c r="F146" t="s">
        <v>24</v>
      </c>
      <c r="G146" t="s">
        <v>25</v>
      </c>
      <c r="H146" t="s">
        <v>26</v>
      </c>
      <c r="I146" t="s">
        <v>655</v>
      </c>
      <c r="J146" t="s">
        <v>656</v>
      </c>
      <c r="K146" t="s">
        <v>657</v>
      </c>
      <c r="L146" s="6" t="s">
        <v>1804</v>
      </c>
      <c r="M146" t="str">
        <f t="shared" si="2"/>
        <v>DOBLITASU@BBVA.COM,monitoreocgr1.pe@bbva.com</v>
      </c>
    </row>
    <row r="147" spans="1:13" hidden="1" x14ac:dyDescent="0.25">
      <c r="A147" s="1">
        <v>123</v>
      </c>
      <c r="B147" s="1">
        <v>123</v>
      </c>
      <c r="C147" t="s">
        <v>658</v>
      </c>
      <c r="D147" t="s">
        <v>94</v>
      </c>
      <c r="E147" t="s">
        <v>95</v>
      </c>
      <c r="F147" t="s">
        <v>24</v>
      </c>
      <c r="G147" t="s">
        <v>25</v>
      </c>
      <c r="H147" t="s">
        <v>26</v>
      </c>
      <c r="I147" t="s">
        <v>659</v>
      </c>
      <c r="J147" t="s">
        <v>660</v>
      </c>
      <c r="K147" t="s">
        <v>661</v>
      </c>
      <c r="L147" s="6" t="s">
        <v>1804</v>
      </c>
      <c r="M147" t="str">
        <f t="shared" si="2"/>
        <v>GOVALLE@BBVA.COM,monitoreocgr1.pe@bbva.com</v>
      </c>
    </row>
    <row r="148" spans="1:13" hidden="1" x14ac:dyDescent="0.25">
      <c r="A148" s="1">
        <v>278</v>
      </c>
      <c r="B148" s="1">
        <v>278</v>
      </c>
      <c r="C148" t="s">
        <v>662</v>
      </c>
      <c r="D148" t="s">
        <v>80</v>
      </c>
      <c r="E148" t="s">
        <v>81</v>
      </c>
      <c r="F148" t="s">
        <v>33</v>
      </c>
      <c r="G148" t="s">
        <v>34</v>
      </c>
      <c r="H148" t="s">
        <v>35</v>
      </c>
      <c r="I148" t="s">
        <v>663</v>
      </c>
      <c r="J148" t="s">
        <v>664</v>
      </c>
      <c r="K148" t="s">
        <v>665</v>
      </c>
      <c r="L148" s="6" t="s">
        <v>1804</v>
      </c>
      <c r="M148" t="str">
        <f t="shared" si="2"/>
        <v>MROSASF@BBVA.COM,monitoreocgr1.pe@bbva.com</v>
      </c>
    </row>
    <row r="149" spans="1:13" hidden="1" x14ac:dyDescent="0.25">
      <c r="A149" s="1">
        <v>188</v>
      </c>
      <c r="B149" s="1">
        <v>188</v>
      </c>
      <c r="C149" t="s">
        <v>666</v>
      </c>
      <c r="D149" t="s">
        <v>178</v>
      </c>
      <c r="E149" t="s">
        <v>179</v>
      </c>
      <c r="F149" t="s">
        <v>24</v>
      </c>
      <c r="G149" t="s">
        <v>25</v>
      </c>
      <c r="H149" t="s">
        <v>26</v>
      </c>
      <c r="I149" t="s">
        <v>667</v>
      </c>
      <c r="J149" t="s">
        <v>668</v>
      </c>
      <c r="K149" t="s">
        <v>669</v>
      </c>
      <c r="L149" s="6" t="s">
        <v>1804</v>
      </c>
      <c r="M149" t="str">
        <f t="shared" si="2"/>
        <v>CEVASQUEZ@BBVA.COM,monitoreocgr1.pe@bbva.com</v>
      </c>
    </row>
    <row r="150" spans="1:13" hidden="1" x14ac:dyDescent="0.25">
      <c r="A150" s="1">
        <v>117</v>
      </c>
      <c r="B150" s="1">
        <v>117</v>
      </c>
      <c r="C150" t="s">
        <v>670</v>
      </c>
      <c r="D150" t="s">
        <v>112</v>
      </c>
      <c r="E150" t="s">
        <v>113</v>
      </c>
      <c r="F150" t="s">
        <v>24</v>
      </c>
      <c r="G150" t="s">
        <v>25</v>
      </c>
      <c r="H150" t="s">
        <v>26</v>
      </c>
      <c r="I150" t="s">
        <v>671</v>
      </c>
      <c r="J150" t="s">
        <v>672</v>
      </c>
      <c r="K150" t="s">
        <v>673</v>
      </c>
      <c r="L150" s="6" t="s">
        <v>1804</v>
      </c>
      <c r="M150" t="str">
        <f t="shared" si="2"/>
        <v>BDENEGRI@BBVA.COM,monitoreocgr1.pe@bbva.com</v>
      </c>
    </row>
    <row r="151" spans="1:13" hidden="1" x14ac:dyDescent="0.25">
      <c r="A151" s="1">
        <v>170</v>
      </c>
      <c r="B151" s="1">
        <v>170</v>
      </c>
      <c r="C151" t="s">
        <v>674</v>
      </c>
      <c r="D151" t="s">
        <v>122</v>
      </c>
      <c r="E151" t="s">
        <v>123</v>
      </c>
      <c r="F151" t="s">
        <v>24</v>
      </c>
      <c r="G151" t="s">
        <v>25</v>
      </c>
      <c r="H151" t="s">
        <v>26</v>
      </c>
      <c r="I151" t="s">
        <v>675</v>
      </c>
      <c r="J151" t="s">
        <v>676</v>
      </c>
      <c r="K151" t="s">
        <v>677</v>
      </c>
      <c r="L151" s="6" t="s">
        <v>1804</v>
      </c>
      <c r="M151" t="str">
        <f t="shared" si="2"/>
        <v>BCUADROS@BBVA.COM,monitoreocgr1.pe@bbva.com</v>
      </c>
    </row>
    <row r="152" spans="1:13" hidden="1" x14ac:dyDescent="0.25">
      <c r="A152" s="1">
        <v>482</v>
      </c>
      <c r="B152" s="1">
        <v>482</v>
      </c>
      <c r="C152" t="s">
        <v>678</v>
      </c>
      <c r="D152" t="s">
        <v>679</v>
      </c>
      <c r="E152" t="s">
        <v>26</v>
      </c>
      <c r="F152" t="s">
        <v>24</v>
      </c>
      <c r="G152" t="s">
        <v>25</v>
      </c>
      <c r="H152" t="s">
        <v>26</v>
      </c>
      <c r="I152" t="s">
        <v>680</v>
      </c>
      <c r="J152" t="s">
        <v>681</v>
      </c>
      <c r="K152" t="s">
        <v>682</v>
      </c>
      <c r="L152" s="6" t="s">
        <v>1804</v>
      </c>
      <c r="M152" t="str">
        <f t="shared" si="2"/>
        <v>WZEGARRA@BBVA.COM,monitoreocgr1.pe@bbva.com</v>
      </c>
    </row>
    <row r="153" spans="1:13" hidden="1" x14ac:dyDescent="0.25">
      <c r="A153" s="1">
        <v>138</v>
      </c>
      <c r="B153" s="1">
        <v>138</v>
      </c>
      <c r="C153" t="s">
        <v>683</v>
      </c>
      <c r="D153" t="s">
        <v>112</v>
      </c>
      <c r="E153" t="s">
        <v>113</v>
      </c>
      <c r="F153" t="s">
        <v>24</v>
      </c>
      <c r="G153" t="s">
        <v>25</v>
      </c>
      <c r="H153" t="s">
        <v>26</v>
      </c>
      <c r="I153" t="s">
        <v>684</v>
      </c>
      <c r="J153" t="s">
        <v>685</v>
      </c>
      <c r="K153" t="s">
        <v>686</v>
      </c>
      <c r="L153" s="6" t="s">
        <v>1804</v>
      </c>
      <c r="M153" t="str">
        <f t="shared" si="2"/>
        <v>MPICON@BBVA.COM,monitoreocgr1.pe@bbva.com</v>
      </c>
    </row>
    <row r="154" spans="1:13" hidden="1" x14ac:dyDescent="0.25">
      <c r="A154" s="1">
        <v>318</v>
      </c>
      <c r="B154" s="1">
        <v>318</v>
      </c>
      <c r="C154" t="s">
        <v>687</v>
      </c>
      <c r="D154" t="s">
        <v>688</v>
      </c>
      <c r="E154" t="s">
        <v>26</v>
      </c>
      <c r="F154" t="s">
        <v>24</v>
      </c>
      <c r="G154" t="s">
        <v>25</v>
      </c>
      <c r="H154" t="s">
        <v>26</v>
      </c>
      <c r="I154" t="s">
        <v>689</v>
      </c>
      <c r="J154" t="s">
        <v>690</v>
      </c>
      <c r="K154" t="s">
        <v>691</v>
      </c>
      <c r="L154" s="6" t="s">
        <v>1804</v>
      </c>
      <c r="M154" t="str">
        <f t="shared" si="2"/>
        <v>GGARCIAB@BBVA.COM,monitoreocgr1.pe@bbva.com</v>
      </c>
    </row>
    <row r="155" spans="1:13" hidden="1" x14ac:dyDescent="0.25">
      <c r="A155" s="1">
        <v>245</v>
      </c>
      <c r="B155" s="1">
        <v>245</v>
      </c>
      <c r="C155" t="s">
        <v>692</v>
      </c>
      <c r="D155" t="s">
        <v>693</v>
      </c>
      <c r="E155" t="s">
        <v>26</v>
      </c>
      <c r="F155" t="s">
        <v>24</v>
      </c>
      <c r="G155" t="s">
        <v>25</v>
      </c>
      <c r="H155" t="s">
        <v>26</v>
      </c>
      <c r="I155" t="s">
        <v>694</v>
      </c>
      <c r="J155" t="s">
        <v>695</v>
      </c>
      <c r="K155" t="s">
        <v>696</v>
      </c>
      <c r="L155" s="6" t="s">
        <v>1804</v>
      </c>
      <c r="M155" t="str">
        <f t="shared" si="2"/>
        <v>JAPUY@BBVA.COM,monitoreocgr1.pe@bbva.com</v>
      </c>
    </row>
    <row r="156" spans="1:13" hidden="1" x14ac:dyDescent="0.25">
      <c r="A156" s="1">
        <v>258</v>
      </c>
      <c r="B156" s="1">
        <v>258</v>
      </c>
      <c r="C156" t="s">
        <v>697</v>
      </c>
      <c r="D156" t="s">
        <v>40</v>
      </c>
      <c r="E156" t="s">
        <v>41</v>
      </c>
      <c r="F156" t="s">
        <v>24</v>
      </c>
      <c r="G156" t="s">
        <v>25</v>
      </c>
      <c r="H156" t="s">
        <v>26</v>
      </c>
      <c r="I156" t="s">
        <v>698</v>
      </c>
      <c r="J156" t="s">
        <v>699</v>
      </c>
      <c r="K156" t="s">
        <v>700</v>
      </c>
      <c r="L156" s="6" t="s">
        <v>1804</v>
      </c>
      <c r="M156" t="str">
        <f t="shared" si="2"/>
        <v>DSALAZARS@BBVA.COM,monitoreocgr1.pe@bbva.com</v>
      </c>
    </row>
    <row r="157" spans="1:13" hidden="1" x14ac:dyDescent="0.25">
      <c r="A157" s="1">
        <v>194</v>
      </c>
      <c r="B157" s="1">
        <v>194</v>
      </c>
      <c r="C157" t="s">
        <v>701</v>
      </c>
      <c r="D157" t="s">
        <v>178</v>
      </c>
      <c r="E157" t="s">
        <v>179</v>
      </c>
      <c r="F157" t="s">
        <v>24</v>
      </c>
      <c r="G157" t="s">
        <v>25</v>
      </c>
      <c r="H157" t="s">
        <v>26</v>
      </c>
      <c r="I157" t="s">
        <v>702</v>
      </c>
      <c r="J157" t="s">
        <v>703</v>
      </c>
      <c r="K157" t="s">
        <v>704</v>
      </c>
      <c r="L157" s="6" t="s">
        <v>1804</v>
      </c>
      <c r="M157" t="str">
        <f t="shared" si="2"/>
        <v>EALEON@BBVA.COM,monitoreocgr1.pe@bbva.com</v>
      </c>
    </row>
    <row r="158" spans="1:13" hidden="1" x14ac:dyDescent="0.25">
      <c r="A158" s="1">
        <v>165</v>
      </c>
      <c r="B158" s="1">
        <v>165</v>
      </c>
      <c r="C158" t="s">
        <v>705</v>
      </c>
      <c r="D158" t="s">
        <v>46</v>
      </c>
      <c r="E158" t="s">
        <v>47</v>
      </c>
      <c r="F158" t="s">
        <v>24</v>
      </c>
      <c r="G158" t="s">
        <v>25</v>
      </c>
      <c r="H158" t="s">
        <v>26</v>
      </c>
      <c r="I158" t="s">
        <v>706</v>
      </c>
      <c r="J158" t="s">
        <v>707</v>
      </c>
      <c r="K158" t="s">
        <v>708</v>
      </c>
      <c r="L158" s="6" t="s">
        <v>1804</v>
      </c>
      <c r="M158" t="str">
        <f t="shared" si="2"/>
        <v>DBARRON@BBVA.COM,monitoreocgr1.pe@bbva.com</v>
      </c>
    </row>
    <row r="159" spans="1:13" hidden="1" x14ac:dyDescent="0.25">
      <c r="A159" s="1">
        <v>827</v>
      </c>
      <c r="B159" s="1">
        <v>827</v>
      </c>
      <c r="C159" t="s">
        <v>709</v>
      </c>
      <c r="D159" t="s">
        <v>688</v>
      </c>
      <c r="E159" t="s">
        <v>26</v>
      </c>
      <c r="F159" t="s">
        <v>24</v>
      </c>
      <c r="G159" t="s">
        <v>25</v>
      </c>
      <c r="H159" t="s">
        <v>26</v>
      </c>
      <c r="I159" t="s">
        <v>710</v>
      </c>
      <c r="J159" t="s">
        <v>711</v>
      </c>
      <c r="K159" t="s">
        <v>712</v>
      </c>
      <c r="L159" s="6" t="s">
        <v>1804</v>
      </c>
      <c r="M159" t="str">
        <f t="shared" si="2"/>
        <v>RPEREZM@BBVA.COM,monitoreocgr1.pe@bbva.com</v>
      </c>
    </row>
    <row r="160" spans="1:13" hidden="1" x14ac:dyDescent="0.25">
      <c r="A160" s="1">
        <v>111</v>
      </c>
      <c r="B160" s="1">
        <v>111</v>
      </c>
      <c r="C160" t="s">
        <v>713</v>
      </c>
      <c r="D160" t="s">
        <v>188</v>
      </c>
      <c r="E160" t="s">
        <v>189</v>
      </c>
      <c r="F160" t="s">
        <v>24</v>
      </c>
      <c r="G160" t="s">
        <v>25</v>
      </c>
      <c r="H160" t="s">
        <v>26</v>
      </c>
      <c r="I160" t="s">
        <v>714</v>
      </c>
      <c r="J160" t="s">
        <v>715</v>
      </c>
      <c r="K160" t="s">
        <v>716</v>
      </c>
      <c r="L160" s="6" t="s">
        <v>1804</v>
      </c>
      <c r="M160" t="str">
        <f t="shared" si="2"/>
        <v>MABUSTAMANTE@BBVA.COM,monitoreocgr1.pe@bbva.com</v>
      </c>
    </row>
    <row r="161" spans="1:13" hidden="1" x14ac:dyDescent="0.25">
      <c r="A161" s="1">
        <v>150</v>
      </c>
      <c r="B161" s="1">
        <v>150</v>
      </c>
      <c r="C161" t="s">
        <v>717</v>
      </c>
      <c r="D161" t="s">
        <v>178</v>
      </c>
      <c r="E161" t="s">
        <v>179</v>
      </c>
      <c r="F161" t="s">
        <v>24</v>
      </c>
      <c r="G161" t="s">
        <v>25</v>
      </c>
      <c r="H161" t="s">
        <v>26</v>
      </c>
      <c r="I161" t="s">
        <v>718</v>
      </c>
      <c r="J161" t="s">
        <v>719</v>
      </c>
      <c r="K161" t="s">
        <v>720</v>
      </c>
      <c r="L161" s="6" t="s">
        <v>1804</v>
      </c>
      <c r="M161" t="str">
        <f t="shared" si="2"/>
        <v>JCHANAME@BBVA.COM,monitoreocgr1.pe@bbva.com</v>
      </c>
    </row>
    <row r="162" spans="1:13" hidden="1" x14ac:dyDescent="0.25">
      <c r="A162" s="1">
        <v>661</v>
      </c>
      <c r="B162" s="1">
        <v>661</v>
      </c>
      <c r="C162" t="s">
        <v>430</v>
      </c>
      <c r="D162" t="s">
        <v>431</v>
      </c>
      <c r="E162" t="s">
        <v>14</v>
      </c>
      <c r="F162" t="s">
        <v>721</v>
      </c>
      <c r="G162" t="s">
        <v>722</v>
      </c>
      <c r="H162" t="s">
        <v>35</v>
      </c>
      <c r="I162" t="s">
        <v>723</v>
      </c>
      <c r="J162" t="s">
        <v>724</v>
      </c>
      <c r="K162" t="s">
        <v>725</v>
      </c>
      <c r="L162" s="6" t="s">
        <v>1804</v>
      </c>
      <c r="M162" t="str">
        <f t="shared" si="2"/>
        <v>ETORRESLLOSA@BBVA.COM,monitoreocgr1.pe@bbva.com</v>
      </c>
    </row>
    <row r="163" spans="1:13" hidden="1" x14ac:dyDescent="0.25">
      <c r="A163" s="1">
        <v>114</v>
      </c>
      <c r="B163" s="1">
        <v>114</v>
      </c>
      <c r="C163" t="s">
        <v>726</v>
      </c>
      <c r="D163" t="s">
        <v>282</v>
      </c>
      <c r="E163" t="s">
        <v>283</v>
      </c>
      <c r="F163" t="s">
        <v>24</v>
      </c>
      <c r="G163" t="s">
        <v>25</v>
      </c>
      <c r="H163" t="s">
        <v>26</v>
      </c>
      <c r="I163" t="s">
        <v>727</v>
      </c>
      <c r="J163" t="s">
        <v>728</v>
      </c>
      <c r="K163" t="s">
        <v>729</v>
      </c>
      <c r="L163" s="6" t="s">
        <v>1804</v>
      </c>
      <c r="M163" t="str">
        <f t="shared" si="2"/>
        <v>VPRADEL@BBVA.COM,monitoreocgr1.pe@bbva.com</v>
      </c>
    </row>
    <row r="164" spans="1:13" hidden="1" x14ac:dyDescent="0.25">
      <c r="A164" s="1">
        <v>627</v>
      </c>
      <c r="B164" s="1">
        <v>627</v>
      </c>
      <c r="C164" t="s">
        <v>730</v>
      </c>
      <c r="D164" t="s">
        <v>152</v>
      </c>
      <c r="E164" t="s">
        <v>153</v>
      </c>
      <c r="F164" t="s">
        <v>24</v>
      </c>
      <c r="G164" t="s">
        <v>25</v>
      </c>
      <c r="H164" t="s">
        <v>26</v>
      </c>
      <c r="I164" t="s">
        <v>731</v>
      </c>
      <c r="J164" t="s">
        <v>732</v>
      </c>
      <c r="K164" t="s">
        <v>733</v>
      </c>
      <c r="L164" s="6" t="s">
        <v>1804</v>
      </c>
      <c r="M164" t="str">
        <f t="shared" si="2"/>
        <v>GMARTINEZV@BBVA.COM,monitoreocgr1.pe@bbva.com</v>
      </c>
    </row>
    <row r="165" spans="1:13" hidden="1" x14ac:dyDescent="0.25">
      <c r="A165" s="1">
        <v>344</v>
      </c>
      <c r="B165" s="1">
        <v>344</v>
      </c>
      <c r="C165" t="s">
        <v>734</v>
      </c>
      <c r="D165" t="s">
        <v>46</v>
      </c>
      <c r="E165" t="s">
        <v>47</v>
      </c>
      <c r="F165" t="s">
        <v>24</v>
      </c>
      <c r="G165" t="s">
        <v>25</v>
      </c>
      <c r="H165" t="s">
        <v>26</v>
      </c>
      <c r="I165" t="s">
        <v>735</v>
      </c>
      <c r="J165" t="s">
        <v>736</v>
      </c>
      <c r="K165" t="s">
        <v>737</v>
      </c>
      <c r="L165" s="6" t="s">
        <v>1804</v>
      </c>
      <c r="M165" t="str">
        <f t="shared" si="2"/>
        <v>PQUISPEW@BBVA.COM,monitoreocgr1.pe@bbva.com</v>
      </c>
    </row>
    <row r="166" spans="1:13" hidden="1" x14ac:dyDescent="0.25">
      <c r="A166" s="1">
        <v>186</v>
      </c>
      <c r="B166" s="1">
        <v>186</v>
      </c>
      <c r="C166" t="s">
        <v>738</v>
      </c>
      <c r="D166" t="s">
        <v>94</v>
      </c>
      <c r="E166" t="s">
        <v>95</v>
      </c>
      <c r="F166" t="s">
        <v>24</v>
      </c>
      <c r="G166" t="s">
        <v>25</v>
      </c>
      <c r="H166" t="s">
        <v>26</v>
      </c>
      <c r="I166" t="s">
        <v>739</v>
      </c>
      <c r="J166" t="s">
        <v>740</v>
      </c>
      <c r="K166" t="s">
        <v>741</v>
      </c>
      <c r="L166" s="6" t="s">
        <v>1804</v>
      </c>
      <c r="M166" t="str">
        <f t="shared" si="2"/>
        <v>ASOTOR@BBVA.COM,monitoreocgr1.pe@bbva.com</v>
      </c>
    </row>
    <row r="167" spans="1:13" hidden="1" x14ac:dyDescent="0.25">
      <c r="A167" s="1">
        <v>226</v>
      </c>
      <c r="B167" s="1">
        <v>226</v>
      </c>
      <c r="C167" t="s">
        <v>742</v>
      </c>
      <c r="D167" t="s">
        <v>40</v>
      </c>
      <c r="E167" t="s">
        <v>41</v>
      </c>
      <c r="F167" t="s">
        <v>24</v>
      </c>
      <c r="G167" t="s">
        <v>25</v>
      </c>
      <c r="H167" t="s">
        <v>26</v>
      </c>
      <c r="I167" t="s">
        <v>743</v>
      </c>
      <c r="J167" t="s">
        <v>744</v>
      </c>
      <c r="K167" t="s">
        <v>745</v>
      </c>
      <c r="L167" s="6" t="s">
        <v>1804</v>
      </c>
      <c r="M167" t="str">
        <f t="shared" si="2"/>
        <v>SCALDAS@BBVA.COM,monitoreocgr1.pe@bbva.com</v>
      </c>
    </row>
    <row r="168" spans="1:13" hidden="1" x14ac:dyDescent="0.25">
      <c r="A168" s="1">
        <v>196</v>
      </c>
      <c r="B168" s="1">
        <v>196</v>
      </c>
      <c r="C168" t="s">
        <v>746</v>
      </c>
      <c r="D168" t="s">
        <v>46</v>
      </c>
      <c r="E168" t="s">
        <v>47</v>
      </c>
      <c r="F168" t="s">
        <v>24</v>
      </c>
      <c r="G168" t="s">
        <v>25</v>
      </c>
      <c r="H168" t="s">
        <v>26</v>
      </c>
      <c r="I168" t="s">
        <v>747</v>
      </c>
      <c r="J168" t="s">
        <v>748</v>
      </c>
      <c r="K168" t="s">
        <v>749</v>
      </c>
      <c r="L168" s="6" t="s">
        <v>1804</v>
      </c>
      <c r="M168" t="str">
        <f t="shared" si="2"/>
        <v>CZAPATAS@BBVA.COM,monitoreocgr1.pe@bbva.com</v>
      </c>
    </row>
    <row r="169" spans="1:13" hidden="1" x14ac:dyDescent="0.25">
      <c r="A169" s="1">
        <v>380</v>
      </c>
      <c r="B169" s="1">
        <v>380</v>
      </c>
      <c r="C169" t="s">
        <v>750</v>
      </c>
      <c r="D169" t="s">
        <v>31</v>
      </c>
      <c r="E169" t="s">
        <v>32</v>
      </c>
      <c r="F169" t="s">
        <v>33</v>
      </c>
      <c r="G169" t="s">
        <v>34</v>
      </c>
      <c r="H169" t="s">
        <v>35</v>
      </c>
      <c r="I169" t="s">
        <v>751</v>
      </c>
      <c r="J169" t="s">
        <v>752</v>
      </c>
      <c r="K169" t="s">
        <v>753</v>
      </c>
      <c r="L169" s="6" t="s">
        <v>1804</v>
      </c>
      <c r="M169" t="str">
        <f t="shared" si="2"/>
        <v>CLOZANO@BBVA.COM,monitoreocgr1.pe@bbva.com</v>
      </c>
    </row>
    <row r="170" spans="1:13" hidden="1" x14ac:dyDescent="0.25">
      <c r="A170" s="1">
        <v>918</v>
      </c>
      <c r="B170" s="1">
        <v>918</v>
      </c>
      <c r="C170" t="s">
        <v>754</v>
      </c>
      <c r="D170" t="s">
        <v>22</v>
      </c>
      <c r="E170" t="s">
        <v>345</v>
      </c>
      <c r="F170" t="s">
        <v>24</v>
      </c>
      <c r="G170" t="s">
        <v>25</v>
      </c>
      <c r="H170" t="s">
        <v>26</v>
      </c>
      <c r="I170" t="s">
        <v>755</v>
      </c>
      <c r="J170" t="s">
        <v>756</v>
      </c>
      <c r="K170" t="s">
        <v>757</v>
      </c>
      <c r="L170" s="6" t="s">
        <v>1804</v>
      </c>
      <c r="M170" t="str">
        <f t="shared" si="2"/>
        <v>AGALVEZG@BBVA.COM,monitoreocgr1.pe@bbva.com</v>
      </c>
    </row>
    <row r="171" spans="1:13" hidden="1" x14ac:dyDescent="0.25">
      <c r="A171" s="1">
        <v>151</v>
      </c>
      <c r="B171" s="1">
        <v>151</v>
      </c>
      <c r="C171" t="s">
        <v>758</v>
      </c>
      <c r="D171" t="s">
        <v>46</v>
      </c>
      <c r="E171" t="s">
        <v>47</v>
      </c>
      <c r="F171" t="s">
        <v>24</v>
      </c>
      <c r="G171" t="s">
        <v>25</v>
      </c>
      <c r="H171" t="s">
        <v>26</v>
      </c>
      <c r="I171" t="s">
        <v>759</v>
      </c>
      <c r="J171" t="s">
        <v>760</v>
      </c>
      <c r="K171" t="s">
        <v>761</v>
      </c>
      <c r="L171" s="6" t="s">
        <v>1804</v>
      </c>
      <c r="M171" t="str">
        <f t="shared" si="2"/>
        <v>YESPEJO@BBVA.COM,monitoreocgr1.pe@bbva.com</v>
      </c>
    </row>
    <row r="172" spans="1:13" hidden="1" x14ac:dyDescent="0.25">
      <c r="A172" s="1">
        <v>306</v>
      </c>
      <c r="B172" s="1">
        <v>306</v>
      </c>
      <c r="C172" t="s">
        <v>762</v>
      </c>
      <c r="D172" t="s">
        <v>254</v>
      </c>
      <c r="E172" t="s">
        <v>312</v>
      </c>
      <c r="F172" t="s">
        <v>24</v>
      </c>
      <c r="G172" t="s">
        <v>25</v>
      </c>
      <c r="H172" t="s">
        <v>26</v>
      </c>
      <c r="I172" t="s">
        <v>763</v>
      </c>
      <c r="J172" t="s">
        <v>764</v>
      </c>
      <c r="K172" t="s">
        <v>765</v>
      </c>
      <c r="L172" s="6" t="s">
        <v>1804</v>
      </c>
      <c r="M172" t="str">
        <f t="shared" si="2"/>
        <v>MLUNAVICTORIA@BBVA.COM,monitoreocgr1.pe@bbva.com</v>
      </c>
    </row>
    <row r="173" spans="1:13" hidden="1" x14ac:dyDescent="0.25">
      <c r="A173" s="1">
        <v>187</v>
      </c>
      <c r="B173" s="1">
        <v>187</v>
      </c>
      <c r="C173" t="s">
        <v>766</v>
      </c>
      <c r="D173" t="s">
        <v>112</v>
      </c>
      <c r="E173" t="s">
        <v>113</v>
      </c>
      <c r="F173" t="s">
        <v>24</v>
      </c>
      <c r="G173" t="s">
        <v>25</v>
      </c>
      <c r="H173" t="s">
        <v>26</v>
      </c>
      <c r="I173" t="s">
        <v>767</v>
      </c>
      <c r="J173" t="s">
        <v>768</v>
      </c>
      <c r="K173" t="s">
        <v>769</v>
      </c>
      <c r="L173" s="6" t="s">
        <v>1804</v>
      </c>
      <c r="M173" t="str">
        <f t="shared" si="2"/>
        <v>LTELLOF@BBVA.COM,monitoreocgr1.pe@bbva.com</v>
      </c>
    </row>
    <row r="174" spans="1:13" hidden="1" x14ac:dyDescent="0.25">
      <c r="A174" s="1">
        <v>140</v>
      </c>
      <c r="B174" s="1">
        <v>140</v>
      </c>
      <c r="C174" t="s">
        <v>770</v>
      </c>
      <c r="D174" t="s">
        <v>122</v>
      </c>
      <c r="E174" t="s">
        <v>123</v>
      </c>
      <c r="F174" t="s">
        <v>24</v>
      </c>
      <c r="G174" t="s">
        <v>25</v>
      </c>
      <c r="H174" t="s">
        <v>26</v>
      </c>
      <c r="I174" t="s">
        <v>771</v>
      </c>
      <c r="J174" t="s">
        <v>772</v>
      </c>
      <c r="K174" t="s">
        <v>773</v>
      </c>
      <c r="L174" s="6" t="s">
        <v>1804</v>
      </c>
      <c r="M174" t="str">
        <f t="shared" si="2"/>
        <v>JWONGN@BBVA.COM,monitoreocgr1.pe@bbva.com</v>
      </c>
    </row>
    <row r="175" spans="1:13" hidden="1" x14ac:dyDescent="0.25">
      <c r="A175" s="1">
        <v>921</v>
      </c>
      <c r="B175" s="1">
        <v>921</v>
      </c>
      <c r="C175" t="s">
        <v>774</v>
      </c>
      <c r="D175" t="s">
        <v>46</v>
      </c>
      <c r="E175" t="s">
        <v>47</v>
      </c>
      <c r="F175" t="s">
        <v>24</v>
      </c>
      <c r="G175" t="s">
        <v>25</v>
      </c>
      <c r="H175" t="s">
        <v>26</v>
      </c>
      <c r="I175" t="s">
        <v>775</v>
      </c>
      <c r="J175" t="s">
        <v>776</v>
      </c>
      <c r="K175" t="s">
        <v>777</v>
      </c>
      <c r="L175" s="6" t="s">
        <v>1804</v>
      </c>
      <c r="M175" t="str">
        <f t="shared" si="2"/>
        <v>NATALI@BBVA.COM,monitoreocgr1.pe@bbva.com</v>
      </c>
    </row>
    <row r="176" spans="1:13" hidden="1" x14ac:dyDescent="0.25">
      <c r="A176" s="1">
        <v>766</v>
      </c>
      <c r="B176" s="1">
        <v>766</v>
      </c>
      <c r="C176" t="s">
        <v>778</v>
      </c>
      <c r="D176" t="s">
        <v>233</v>
      </c>
      <c r="E176" t="s">
        <v>234</v>
      </c>
      <c r="F176" t="s">
        <v>235</v>
      </c>
      <c r="G176" t="s">
        <v>236</v>
      </c>
      <c r="H176" t="s">
        <v>26</v>
      </c>
      <c r="I176" t="s">
        <v>779</v>
      </c>
      <c r="J176" t="s">
        <v>780</v>
      </c>
      <c r="K176" t="s">
        <v>781</v>
      </c>
      <c r="L176" s="6" t="s">
        <v>1804</v>
      </c>
      <c r="M176" t="str">
        <f t="shared" si="2"/>
        <v>RAMEZONES@BBVA.COM,monitoreocgr1.pe@bbva.com</v>
      </c>
    </row>
    <row r="177" spans="1:13" hidden="1" x14ac:dyDescent="0.25">
      <c r="A177" s="1">
        <v>182</v>
      </c>
      <c r="B177" s="1">
        <v>182</v>
      </c>
      <c r="C177" t="s">
        <v>782</v>
      </c>
      <c r="D177" t="s">
        <v>112</v>
      </c>
      <c r="E177" t="s">
        <v>113</v>
      </c>
      <c r="F177" t="s">
        <v>24</v>
      </c>
      <c r="G177" t="s">
        <v>25</v>
      </c>
      <c r="H177" t="s">
        <v>26</v>
      </c>
      <c r="I177" t="s">
        <v>783</v>
      </c>
      <c r="J177" t="s">
        <v>784</v>
      </c>
      <c r="K177" t="s">
        <v>785</v>
      </c>
      <c r="L177" s="6" t="s">
        <v>1804</v>
      </c>
      <c r="M177" t="str">
        <f t="shared" si="2"/>
        <v>FMALDONADO@BBVA.COM,monitoreocgr1.pe@bbva.com</v>
      </c>
    </row>
    <row r="178" spans="1:13" hidden="1" x14ac:dyDescent="0.25">
      <c r="A178" s="1">
        <v>215</v>
      </c>
      <c r="B178" s="1">
        <v>215</v>
      </c>
      <c r="C178" t="s">
        <v>786</v>
      </c>
      <c r="D178" t="s">
        <v>282</v>
      </c>
      <c r="E178" t="s">
        <v>283</v>
      </c>
      <c r="F178" t="s">
        <v>24</v>
      </c>
      <c r="G178" t="s">
        <v>25</v>
      </c>
      <c r="H178" t="s">
        <v>26</v>
      </c>
      <c r="I178" t="s">
        <v>787</v>
      </c>
      <c r="J178" t="s">
        <v>788</v>
      </c>
      <c r="K178" t="s">
        <v>789</v>
      </c>
      <c r="L178" s="6" t="s">
        <v>1804</v>
      </c>
      <c r="M178" t="str">
        <f t="shared" si="2"/>
        <v>DPOSTILLON@BBVA.COM,monitoreocgr1.pe@bbva.com</v>
      </c>
    </row>
    <row r="179" spans="1:13" hidden="1" x14ac:dyDescent="0.25">
      <c r="A179" s="1">
        <v>312</v>
      </c>
      <c r="B179" s="1">
        <v>312</v>
      </c>
      <c r="C179" t="s">
        <v>790</v>
      </c>
      <c r="D179" t="s">
        <v>188</v>
      </c>
      <c r="E179" t="s">
        <v>189</v>
      </c>
      <c r="F179" t="s">
        <v>24</v>
      </c>
      <c r="G179" t="s">
        <v>25</v>
      </c>
      <c r="H179" t="s">
        <v>26</v>
      </c>
      <c r="I179" t="s">
        <v>791</v>
      </c>
      <c r="J179" t="s">
        <v>792</v>
      </c>
      <c r="K179" t="s">
        <v>793</v>
      </c>
      <c r="L179" s="6" t="s">
        <v>1804</v>
      </c>
      <c r="M179" t="str">
        <f t="shared" si="2"/>
        <v>AHUERTA@BBVA.COM,monitoreocgr1.pe@bbva.com</v>
      </c>
    </row>
    <row r="180" spans="1:13" hidden="1" x14ac:dyDescent="0.25">
      <c r="A180" s="1">
        <v>949</v>
      </c>
      <c r="B180" s="1">
        <v>949</v>
      </c>
      <c r="C180" t="s">
        <v>794</v>
      </c>
      <c r="D180" t="s">
        <v>795</v>
      </c>
      <c r="E180" t="s">
        <v>796</v>
      </c>
      <c r="F180" t="s">
        <v>33</v>
      </c>
      <c r="G180" t="s">
        <v>34</v>
      </c>
      <c r="H180" t="s">
        <v>35</v>
      </c>
      <c r="I180" t="s">
        <v>797</v>
      </c>
      <c r="J180" t="s">
        <v>798</v>
      </c>
      <c r="K180" t="s">
        <v>799</v>
      </c>
      <c r="L180" s="6" t="s">
        <v>1804</v>
      </c>
      <c r="M180" t="str">
        <f t="shared" si="2"/>
        <v>APASTORV@BBVA.COM,monitoreocgr1.pe@bbva.com</v>
      </c>
    </row>
    <row r="181" spans="1:13" hidden="1" x14ac:dyDescent="0.25">
      <c r="A181" s="1">
        <v>418</v>
      </c>
      <c r="B181" s="1">
        <v>418</v>
      </c>
      <c r="C181" t="s">
        <v>800</v>
      </c>
      <c r="D181" t="s">
        <v>188</v>
      </c>
      <c r="E181" t="s">
        <v>189</v>
      </c>
      <c r="F181" t="s">
        <v>24</v>
      </c>
      <c r="G181" t="s">
        <v>25</v>
      </c>
      <c r="H181" t="s">
        <v>26</v>
      </c>
      <c r="I181" t="s">
        <v>801</v>
      </c>
      <c r="J181" t="s">
        <v>802</v>
      </c>
      <c r="K181" t="s">
        <v>803</v>
      </c>
      <c r="L181" s="6" t="s">
        <v>1804</v>
      </c>
      <c r="M181" t="str">
        <f t="shared" si="2"/>
        <v>PSIERRA@BBVA.COM,monitoreocgr1.pe@bbva.com</v>
      </c>
    </row>
    <row r="182" spans="1:13" hidden="1" x14ac:dyDescent="0.25">
      <c r="A182" s="1">
        <v>161</v>
      </c>
      <c r="B182" s="1">
        <v>161</v>
      </c>
      <c r="C182" t="s">
        <v>804</v>
      </c>
      <c r="D182" t="s">
        <v>122</v>
      </c>
      <c r="E182" t="s">
        <v>123</v>
      </c>
      <c r="F182" t="s">
        <v>24</v>
      </c>
      <c r="G182" t="s">
        <v>25</v>
      </c>
      <c r="H182" t="s">
        <v>26</v>
      </c>
      <c r="I182" t="s">
        <v>805</v>
      </c>
      <c r="J182" t="s">
        <v>806</v>
      </c>
      <c r="K182" t="s">
        <v>807</v>
      </c>
      <c r="L182" s="6" t="s">
        <v>1804</v>
      </c>
      <c r="M182" t="str">
        <f t="shared" si="2"/>
        <v>CCALDERONY@BBVA.COM,monitoreocgr1.pe@bbva.com</v>
      </c>
    </row>
    <row r="183" spans="1:13" hidden="1" x14ac:dyDescent="0.25">
      <c r="A183" s="1">
        <v>169</v>
      </c>
      <c r="B183" s="1">
        <v>169</v>
      </c>
      <c r="C183" t="s">
        <v>808</v>
      </c>
      <c r="D183" t="s">
        <v>112</v>
      </c>
      <c r="E183" t="s">
        <v>113</v>
      </c>
      <c r="F183" t="s">
        <v>24</v>
      </c>
      <c r="G183" t="s">
        <v>25</v>
      </c>
      <c r="H183" t="s">
        <v>26</v>
      </c>
      <c r="I183" t="s">
        <v>809</v>
      </c>
      <c r="J183" t="s">
        <v>810</v>
      </c>
      <c r="K183" t="s">
        <v>811</v>
      </c>
      <c r="L183" s="6" t="s">
        <v>1804</v>
      </c>
      <c r="M183" t="str">
        <f t="shared" si="2"/>
        <v>MGONZALESM@BBVA.COM,monitoreocgr1.pe@bbva.com</v>
      </c>
    </row>
    <row r="184" spans="1:13" x14ac:dyDescent="0.25">
      <c r="A184" s="1">
        <v>177</v>
      </c>
      <c r="B184" s="1">
        <v>177</v>
      </c>
      <c r="C184" t="s">
        <v>812</v>
      </c>
      <c r="D184" t="s">
        <v>70</v>
      </c>
      <c r="E184" t="s">
        <v>71</v>
      </c>
      <c r="F184" t="s">
        <v>24</v>
      </c>
      <c r="G184" t="s">
        <v>25</v>
      </c>
      <c r="H184" t="s">
        <v>26</v>
      </c>
      <c r="I184" t="s">
        <v>813</v>
      </c>
      <c r="J184" t="s">
        <v>814</v>
      </c>
      <c r="K184" t="s">
        <v>815</v>
      </c>
      <c r="L184" s="6" t="s">
        <v>1804</v>
      </c>
      <c r="M184" t="str">
        <f t="shared" si="2"/>
        <v>PARANDA@BBVA.COM,monitoreocgr1.pe@bbva.com</v>
      </c>
    </row>
    <row r="185" spans="1:13" hidden="1" x14ac:dyDescent="0.25">
      <c r="A185" s="1">
        <v>760</v>
      </c>
      <c r="B185" s="1">
        <v>760</v>
      </c>
      <c r="C185" t="s">
        <v>816</v>
      </c>
      <c r="D185" t="s">
        <v>178</v>
      </c>
      <c r="E185" t="s">
        <v>179</v>
      </c>
      <c r="F185" t="s">
        <v>24</v>
      </c>
      <c r="G185" t="s">
        <v>25</v>
      </c>
      <c r="H185" t="s">
        <v>26</v>
      </c>
      <c r="I185" t="s">
        <v>817</v>
      </c>
      <c r="J185" t="s">
        <v>818</v>
      </c>
      <c r="K185" t="s">
        <v>819</v>
      </c>
      <c r="L185" s="6" t="s">
        <v>1804</v>
      </c>
      <c r="M185" t="str">
        <f t="shared" si="2"/>
        <v>CRUIZG@BBVA.COM,monitoreocgr1.pe@bbva.com</v>
      </c>
    </row>
    <row r="186" spans="1:13" hidden="1" x14ac:dyDescent="0.25">
      <c r="A186" s="1">
        <v>171</v>
      </c>
      <c r="B186" s="1">
        <v>171</v>
      </c>
      <c r="C186" t="s">
        <v>820</v>
      </c>
      <c r="D186" t="s">
        <v>178</v>
      </c>
      <c r="E186" t="s">
        <v>179</v>
      </c>
      <c r="F186" t="s">
        <v>24</v>
      </c>
      <c r="G186" t="s">
        <v>25</v>
      </c>
      <c r="H186" t="s">
        <v>26</v>
      </c>
      <c r="I186" t="s">
        <v>821</v>
      </c>
      <c r="J186" t="s">
        <v>822</v>
      </c>
      <c r="K186" t="s">
        <v>823</v>
      </c>
      <c r="L186" s="6" t="s">
        <v>1804</v>
      </c>
      <c r="M186" t="str">
        <f t="shared" si="2"/>
        <v>JJOFERNANDEZ@BBVA.COM,monitoreocgr1.pe@bbva.com</v>
      </c>
    </row>
    <row r="187" spans="1:13" hidden="1" x14ac:dyDescent="0.25">
      <c r="A187" s="1">
        <v>189</v>
      </c>
      <c r="B187" s="1">
        <v>189</v>
      </c>
      <c r="C187" t="s">
        <v>824</v>
      </c>
      <c r="D187" t="s">
        <v>94</v>
      </c>
      <c r="E187" t="s">
        <v>95</v>
      </c>
      <c r="F187" t="s">
        <v>24</v>
      </c>
      <c r="G187" t="s">
        <v>25</v>
      </c>
      <c r="H187" t="s">
        <v>26</v>
      </c>
      <c r="I187" t="s">
        <v>825</v>
      </c>
      <c r="J187" t="s">
        <v>826</v>
      </c>
      <c r="K187" t="s">
        <v>827</v>
      </c>
      <c r="L187" s="6" t="s">
        <v>1804</v>
      </c>
      <c r="M187" t="str">
        <f t="shared" si="2"/>
        <v>RNAVARRETECAR@BBVA.COM,monitoreocgr1.pe@bbva.com</v>
      </c>
    </row>
    <row r="188" spans="1:13" hidden="1" x14ac:dyDescent="0.25">
      <c r="A188" s="1">
        <v>59</v>
      </c>
      <c r="B188" s="1">
        <v>59</v>
      </c>
      <c r="C188" t="s">
        <v>828</v>
      </c>
      <c r="D188" t="s">
        <v>22</v>
      </c>
      <c r="E188" t="s">
        <v>345</v>
      </c>
      <c r="F188" t="s">
        <v>24</v>
      </c>
      <c r="G188" t="s">
        <v>25</v>
      </c>
      <c r="H188" t="s">
        <v>26</v>
      </c>
      <c r="I188" t="s">
        <v>829</v>
      </c>
      <c r="J188" t="s">
        <v>830</v>
      </c>
      <c r="K188" t="s">
        <v>831</v>
      </c>
      <c r="L188" s="6" t="s">
        <v>1804</v>
      </c>
      <c r="M188" t="str">
        <f t="shared" si="2"/>
        <v>BTORRESC@BBVA.COM,monitoreocgr1.pe@bbva.com</v>
      </c>
    </row>
    <row r="189" spans="1:13" hidden="1" x14ac:dyDescent="0.25">
      <c r="A189" s="1">
        <v>442</v>
      </c>
      <c r="B189" s="1">
        <v>442</v>
      </c>
      <c r="C189" t="s">
        <v>832</v>
      </c>
      <c r="D189" t="s">
        <v>22</v>
      </c>
      <c r="E189" t="s">
        <v>345</v>
      </c>
      <c r="F189" t="s">
        <v>24</v>
      </c>
      <c r="G189" t="s">
        <v>25</v>
      </c>
      <c r="H189" t="s">
        <v>26</v>
      </c>
      <c r="I189" t="s">
        <v>833</v>
      </c>
      <c r="J189" t="s">
        <v>834</v>
      </c>
      <c r="K189" t="s">
        <v>835</v>
      </c>
      <c r="L189" s="6" t="s">
        <v>1804</v>
      </c>
      <c r="M189" t="str">
        <f t="shared" si="2"/>
        <v>ALEYVA@BBVA.COM,monitoreocgr1.pe@bbva.com</v>
      </c>
    </row>
    <row r="190" spans="1:13" hidden="1" x14ac:dyDescent="0.25">
      <c r="A190" s="1">
        <v>250</v>
      </c>
      <c r="B190" s="1">
        <v>250</v>
      </c>
      <c r="C190" t="s">
        <v>836</v>
      </c>
      <c r="D190" t="s">
        <v>22</v>
      </c>
      <c r="E190" t="s">
        <v>345</v>
      </c>
      <c r="F190" t="s">
        <v>24</v>
      </c>
      <c r="G190" t="s">
        <v>25</v>
      </c>
      <c r="H190" t="s">
        <v>26</v>
      </c>
      <c r="I190" t="s">
        <v>837</v>
      </c>
      <c r="J190" t="s">
        <v>838</v>
      </c>
      <c r="K190" t="s">
        <v>839</v>
      </c>
      <c r="L190" s="6" t="s">
        <v>1804</v>
      </c>
      <c r="M190" t="str">
        <f t="shared" si="2"/>
        <v>ATELLO@BBVA.COM,monitoreocgr1.pe@bbva.com</v>
      </c>
    </row>
    <row r="191" spans="1:13" hidden="1" x14ac:dyDescent="0.25">
      <c r="A191" s="1">
        <v>162</v>
      </c>
      <c r="B191" s="1">
        <v>162</v>
      </c>
      <c r="C191" t="s">
        <v>840</v>
      </c>
      <c r="D191" t="s">
        <v>46</v>
      </c>
      <c r="E191" t="s">
        <v>47</v>
      </c>
      <c r="F191" t="s">
        <v>24</v>
      </c>
      <c r="G191" t="s">
        <v>25</v>
      </c>
      <c r="H191" t="s">
        <v>26</v>
      </c>
      <c r="I191" t="s">
        <v>841</v>
      </c>
      <c r="J191" t="s">
        <v>842</v>
      </c>
      <c r="K191" t="s">
        <v>843</v>
      </c>
      <c r="L191" s="6" t="s">
        <v>1804</v>
      </c>
      <c r="M191" t="str">
        <f t="shared" si="2"/>
        <v>RFUENTES-DAVILA@BBVA.COM,monitoreocgr1.pe@bbva.com</v>
      </c>
    </row>
    <row r="192" spans="1:13" hidden="1" x14ac:dyDescent="0.25">
      <c r="A192" s="1">
        <v>109</v>
      </c>
      <c r="B192" s="1">
        <v>109</v>
      </c>
      <c r="C192" t="s">
        <v>844</v>
      </c>
      <c r="D192" t="s">
        <v>178</v>
      </c>
      <c r="E192" t="s">
        <v>179</v>
      </c>
      <c r="F192" t="s">
        <v>24</v>
      </c>
      <c r="G192" t="s">
        <v>25</v>
      </c>
      <c r="H192" t="s">
        <v>26</v>
      </c>
      <c r="I192" t="s">
        <v>845</v>
      </c>
      <c r="J192" t="s">
        <v>846</v>
      </c>
      <c r="K192" t="s">
        <v>847</v>
      </c>
      <c r="L192" s="6" t="s">
        <v>1804</v>
      </c>
      <c r="M192" t="str">
        <f t="shared" si="2"/>
        <v>ORIVERA@BBVA.COM,monitoreocgr1.pe@bbva.com</v>
      </c>
    </row>
    <row r="193" spans="1:13" hidden="1" x14ac:dyDescent="0.25">
      <c r="A193" s="1">
        <v>467</v>
      </c>
      <c r="B193" s="1">
        <v>467</v>
      </c>
      <c r="C193" t="s">
        <v>848</v>
      </c>
      <c r="D193" t="s">
        <v>46</v>
      </c>
      <c r="E193" t="s">
        <v>47</v>
      </c>
      <c r="F193" t="s">
        <v>24</v>
      </c>
      <c r="G193" t="s">
        <v>25</v>
      </c>
      <c r="H193" t="s">
        <v>26</v>
      </c>
      <c r="I193" t="s">
        <v>849</v>
      </c>
      <c r="J193" t="s">
        <v>850</v>
      </c>
      <c r="K193" t="s">
        <v>851</v>
      </c>
      <c r="L193" s="6" t="s">
        <v>1804</v>
      </c>
      <c r="M193" t="str">
        <f t="shared" si="2"/>
        <v>CLAUDIAINES.SERRA@BBVA.COM,monitoreocgr1.pe@bbva.com</v>
      </c>
    </row>
    <row r="194" spans="1:13" hidden="1" x14ac:dyDescent="0.25">
      <c r="A194" s="1">
        <v>157</v>
      </c>
      <c r="B194" s="1">
        <v>157</v>
      </c>
      <c r="C194" t="s">
        <v>852</v>
      </c>
      <c r="D194" t="s">
        <v>178</v>
      </c>
      <c r="E194" t="s">
        <v>179</v>
      </c>
      <c r="F194" t="s">
        <v>24</v>
      </c>
      <c r="G194" t="s">
        <v>25</v>
      </c>
      <c r="H194" t="s">
        <v>26</v>
      </c>
      <c r="I194" t="s">
        <v>853</v>
      </c>
      <c r="J194" t="s">
        <v>854</v>
      </c>
      <c r="K194" t="s">
        <v>855</v>
      </c>
      <c r="L194" s="6" t="s">
        <v>1804</v>
      </c>
      <c r="M194" t="str">
        <f t="shared" si="2"/>
        <v>LARENAS@BBVA.COM,monitoreocgr1.pe@bbva.com</v>
      </c>
    </row>
    <row r="195" spans="1:13" hidden="1" x14ac:dyDescent="0.25">
      <c r="A195" s="1">
        <v>362</v>
      </c>
      <c r="B195" s="1">
        <v>362</v>
      </c>
      <c r="C195" t="s">
        <v>856</v>
      </c>
      <c r="D195" t="s">
        <v>210</v>
      </c>
      <c r="E195" t="s">
        <v>211</v>
      </c>
      <c r="F195" t="s">
        <v>33</v>
      </c>
      <c r="G195" t="s">
        <v>34</v>
      </c>
      <c r="H195" t="s">
        <v>35</v>
      </c>
      <c r="I195" t="s">
        <v>857</v>
      </c>
      <c r="J195" t="s">
        <v>858</v>
      </c>
      <c r="K195" t="s">
        <v>859</v>
      </c>
      <c r="L195" s="6" t="s">
        <v>1804</v>
      </c>
      <c r="M195" t="str">
        <f t="shared" ref="M195:M258" si="3">CONCATENATE(K195,",",L195)</f>
        <v>LMENESES@BBVA.COM,monitoreocgr1.pe@bbva.com</v>
      </c>
    </row>
    <row r="196" spans="1:13" hidden="1" x14ac:dyDescent="0.25">
      <c r="A196" s="1">
        <v>524</v>
      </c>
      <c r="B196" s="1">
        <v>524</v>
      </c>
      <c r="C196" t="s">
        <v>860</v>
      </c>
      <c r="D196" t="s">
        <v>112</v>
      </c>
      <c r="E196" t="s">
        <v>113</v>
      </c>
      <c r="F196" t="s">
        <v>24</v>
      </c>
      <c r="G196" t="s">
        <v>25</v>
      </c>
      <c r="H196" t="s">
        <v>26</v>
      </c>
      <c r="I196" t="s">
        <v>861</v>
      </c>
      <c r="J196" t="s">
        <v>862</v>
      </c>
      <c r="K196" t="s">
        <v>863</v>
      </c>
      <c r="L196" s="6" t="s">
        <v>1804</v>
      </c>
      <c r="M196" t="str">
        <f t="shared" si="3"/>
        <v>SGUZMAN@BBVA.COM,monitoreocgr1.pe@bbva.com</v>
      </c>
    </row>
    <row r="197" spans="1:13" hidden="1" x14ac:dyDescent="0.25">
      <c r="A197" s="1">
        <v>282</v>
      </c>
      <c r="B197" s="1">
        <v>282</v>
      </c>
      <c r="C197" t="s">
        <v>864</v>
      </c>
      <c r="D197" t="s">
        <v>46</v>
      </c>
      <c r="E197" t="s">
        <v>47</v>
      </c>
      <c r="F197" t="s">
        <v>24</v>
      </c>
      <c r="G197" t="s">
        <v>25</v>
      </c>
      <c r="H197" t="s">
        <v>26</v>
      </c>
      <c r="I197" t="s">
        <v>865</v>
      </c>
      <c r="J197" t="s">
        <v>866</v>
      </c>
      <c r="K197" t="s">
        <v>867</v>
      </c>
      <c r="L197" s="6" t="s">
        <v>1804</v>
      </c>
      <c r="M197" t="str">
        <f t="shared" si="3"/>
        <v>RREYESA@BBVA.COM,monitoreocgr1.pe@bbva.com</v>
      </c>
    </row>
    <row r="198" spans="1:13" hidden="1" x14ac:dyDescent="0.25">
      <c r="A198" s="1">
        <v>14</v>
      </c>
      <c r="B198" s="1">
        <v>14</v>
      </c>
      <c r="C198" t="s">
        <v>868</v>
      </c>
      <c r="D198" t="s">
        <v>152</v>
      </c>
      <c r="E198" t="s">
        <v>153</v>
      </c>
      <c r="F198" t="s">
        <v>24</v>
      </c>
      <c r="G198" t="s">
        <v>25</v>
      </c>
      <c r="H198" t="s">
        <v>26</v>
      </c>
      <c r="I198" t="s">
        <v>869</v>
      </c>
      <c r="J198" t="s">
        <v>870</v>
      </c>
      <c r="K198" t="s">
        <v>871</v>
      </c>
      <c r="L198" s="6" t="s">
        <v>1804</v>
      </c>
      <c r="M198" t="str">
        <f t="shared" si="3"/>
        <v>deisy.palacios@bbva.com,monitoreocgr1.pe@bbva.com</v>
      </c>
    </row>
    <row r="199" spans="1:13" hidden="1" x14ac:dyDescent="0.25">
      <c r="A199" s="1">
        <v>327</v>
      </c>
      <c r="B199" s="1">
        <v>327</v>
      </c>
      <c r="C199" t="s">
        <v>872</v>
      </c>
      <c r="D199" t="s">
        <v>254</v>
      </c>
      <c r="E199" t="s">
        <v>312</v>
      </c>
      <c r="F199" t="s">
        <v>24</v>
      </c>
      <c r="G199" t="s">
        <v>25</v>
      </c>
      <c r="H199" t="s">
        <v>26</v>
      </c>
      <c r="I199" t="s">
        <v>873</v>
      </c>
      <c r="J199" t="s">
        <v>874</v>
      </c>
      <c r="K199" t="s">
        <v>875</v>
      </c>
      <c r="L199" s="6" t="s">
        <v>1804</v>
      </c>
      <c r="M199" t="str">
        <f t="shared" si="3"/>
        <v>DDELAGUILA@BBVA.COM,monitoreocgr1.pe@bbva.com</v>
      </c>
    </row>
    <row r="200" spans="1:13" x14ac:dyDescent="0.25">
      <c r="A200" s="1">
        <v>197</v>
      </c>
      <c r="B200" s="1">
        <v>197</v>
      </c>
      <c r="C200" t="s">
        <v>876</v>
      </c>
      <c r="D200" t="s">
        <v>70</v>
      </c>
      <c r="E200" t="s">
        <v>71</v>
      </c>
      <c r="F200" t="s">
        <v>24</v>
      </c>
      <c r="G200" t="s">
        <v>25</v>
      </c>
      <c r="H200" t="s">
        <v>26</v>
      </c>
      <c r="I200" t="s">
        <v>877</v>
      </c>
      <c r="J200" t="s">
        <v>878</v>
      </c>
      <c r="K200" t="s">
        <v>879</v>
      </c>
      <c r="L200" s="6" t="s">
        <v>1804</v>
      </c>
      <c r="M200" t="str">
        <f t="shared" si="3"/>
        <v>DCHAVEZ@BBVA.COM,monitoreocgr1.pe@bbva.com</v>
      </c>
    </row>
    <row r="201" spans="1:13" hidden="1" x14ac:dyDescent="0.25">
      <c r="A201" s="1">
        <v>110</v>
      </c>
      <c r="B201" s="1">
        <v>110</v>
      </c>
      <c r="C201" t="s">
        <v>880</v>
      </c>
      <c r="D201" t="s">
        <v>122</v>
      </c>
      <c r="E201" t="s">
        <v>123</v>
      </c>
      <c r="F201" t="s">
        <v>24</v>
      </c>
      <c r="G201" t="s">
        <v>25</v>
      </c>
      <c r="H201" t="s">
        <v>26</v>
      </c>
      <c r="I201" t="s">
        <v>881</v>
      </c>
      <c r="J201" t="s">
        <v>882</v>
      </c>
      <c r="K201" t="s">
        <v>883</v>
      </c>
      <c r="L201" s="6" t="s">
        <v>1804</v>
      </c>
      <c r="M201" t="str">
        <f t="shared" si="3"/>
        <v>GUMPIRE@BBVA.COM,monitoreocgr1.pe@bbva.com</v>
      </c>
    </row>
    <row r="202" spans="1:13" hidden="1" x14ac:dyDescent="0.25">
      <c r="A202" s="1">
        <v>237</v>
      </c>
      <c r="B202" s="1">
        <v>237</v>
      </c>
      <c r="C202" t="s">
        <v>884</v>
      </c>
      <c r="D202" t="s">
        <v>152</v>
      </c>
      <c r="E202" t="s">
        <v>153</v>
      </c>
      <c r="F202" t="s">
        <v>24</v>
      </c>
      <c r="G202" t="s">
        <v>25</v>
      </c>
      <c r="H202" t="s">
        <v>26</v>
      </c>
      <c r="I202" t="s">
        <v>885</v>
      </c>
      <c r="J202" t="s">
        <v>886</v>
      </c>
      <c r="K202" t="s">
        <v>887</v>
      </c>
      <c r="L202" s="6" t="s">
        <v>1804</v>
      </c>
      <c r="M202" t="str">
        <f t="shared" si="3"/>
        <v>LAQUINO@BBVA.COM,monitoreocgr1.pe@bbva.com</v>
      </c>
    </row>
    <row r="203" spans="1:13" hidden="1" x14ac:dyDescent="0.25">
      <c r="A203" s="1">
        <v>480</v>
      </c>
      <c r="B203" s="1">
        <v>480</v>
      </c>
      <c r="C203" t="s">
        <v>888</v>
      </c>
      <c r="D203" t="s">
        <v>46</v>
      </c>
      <c r="E203" t="s">
        <v>47</v>
      </c>
      <c r="F203" t="s">
        <v>24</v>
      </c>
      <c r="G203" t="s">
        <v>25</v>
      </c>
      <c r="H203" t="s">
        <v>26</v>
      </c>
      <c r="I203" t="s">
        <v>889</v>
      </c>
      <c r="J203" t="s">
        <v>890</v>
      </c>
      <c r="K203" t="s">
        <v>891</v>
      </c>
      <c r="L203" s="6" t="s">
        <v>1804</v>
      </c>
      <c r="M203" t="str">
        <f t="shared" si="3"/>
        <v>JDIAZC@BBVA.COM,monitoreocgr1.pe@bbva.com</v>
      </c>
    </row>
    <row r="204" spans="1:13" hidden="1" x14ac:dyDescent="0.25">
      <c r="A204" s="1">
        <v>259</v>
      </c>
      <c r="B204" s="1">
        <v>259</v>
      </c>
      <c r="C204" t="s">
        <v>892</v>
      </c>
      <c r="D204" t="s">
        <v>46</v>
      </c>
      <c r="E204" t="s">
        <v>47</v>
      </c>
      <c r="F204" t="s">
        <v>24</v>
      </c>
      <c r="G204" t="s">
        <v>25</v>
      </c>
      <c r="H204" t="s">
        <v>26</v>
      </c>
      <c r="I204" t="s">
        <v>893</v>
      </c>
      <c r="J204" t="s">
        <v>894</v>
      </c>
      <c r="K204" t="s">
        <v>895</v>
      </c>
      <c r="L204" s="6" t="s">
        <v>1804</v>
      </c>
      <c r="M204" t="str">
        <f t="shared" si="3"/>
        <v>ECHINCHAY@BBVA.COM,monitoreocgr1.pe@bbva.com</v>
      </c>
    </row>
    <row r="205" spans="1:13" hidden="1" x14ac:dyDescent="0.25">
      <c r="A205" s="1">
        <v>634</v>
      </c>
      <c r="B205" s="1">
        <v>634</v>
      </c>
      <c r="C205" t="s">
        <v>896</v>
      </c>
      <c r="D205" t="s">
        <v>80</v>
      </c>
      <c r="E205" t="s">
        <v>600</v>
      </c>
      <c r="F205" t="s">
        <v>601</v>
      </c>
      <c r="G205" t="s">
        <v>602</v>
      </c>
      <c r="H205" t="s">
        <v>35</v>
      </c>
      <c r="I205" t="s">
        <v>897</v>
      </c>
      <c r="J205" t="s">
        <v>898</v>
      </c>
      <c r="K205" t="s">
        <v>899</v>
      </c>
      <c r="L205" s="6" t="s">
        <v>1804</v>
      </c>
      <c r="M205" t="str">
        <f t="shared" si="3"/>
        <v>VMONTERO@BBVA.COM,monitoreocgr1.pe@bbva.com</v>
      </c>
    </row>
    <row r="206" spans="1:13" hidden="1" x14ac:dyDescent="0.25">
      <c r="A206" s="1">
        <v>233</v>
      </c>
      <c r="B206" s="1">
        <v>233</v>
      </c>
      <c r="C206" t="s">
        <v>900</v>
      </c>
      <c r="D206" t="s">
        <v>254</v>
      </c>
      <c r="E206" t="s">
        <v>312</v>
      </c>
      <c r="F206" t="s">
        <v>24</v>
      </c>
      <c r="G206" t="s">
        <v>25</v>
      </c>
      <c r="H206" t="s">
        <v>26</v>
      </c>
      <c r="I206" t="s">
        <v>901</v>
      </c>
      <c r="J206" t="s">
        <v>902</v>
      </c>
      <c r="K206" t="s">
        <v>903</v>
      </c>
      <c r="L206" s="6" t="s">
        <v>1804</v>
      </c>
      <c r="M206" t="str">
        <f t="shared" si="3"/>
        <v>RGUTIERREZG@BBVA.COM,monitoreocgr1.pe@bbva.com</v>
      </c>
    </row>
    <row r="207" spans="1:13" hidden="1" x14ac:dyDescent="0.25">
      <c r="A207" s="1">
        <v>564</v>
      </c>
      <c r="B207" s="1">
        <v>564</v>
      </c>
      <c r="C207" t="s">
        <v>904</v>
      </c>
      <c r="D207" t="s">
        <v>282</v>
      </c>
      <c r="E207" t="s">
        <v>283</v>
      </c>
      <c r="F207" t="s">
        <v>24</v>
      </c>
      <c r="G207" t="s">
        <v>25</v>
      </c>
      <c r="H207" t="s">
        <v>26</v>
      </c>
      <c r="I207" t="s">
        <v>905</v>
      </c>
      <c r="J207" t="s">
        <v>906</v>
      </c>
      <c r="K207" t="s">
        <v>907</v>
      </c>
      <c r="L207" s="6" t="s">
        <v>1804</v>
      </c>
      <c r="M207" t="str">
        <f t="shared" si="3"/>
        <v>KMEDINA@BBVA.COM,monitoreocgr1.pe@bbva.com</v>
      </c>
    </row>
    <row r="208" spans="1:13" hidden="1" x14ac:dyDescent="0.25">
      <c r="A208" s="1">
        <v>933</v>
      </c>
      <c r="B208" s="1">
        <v>933</v>
      </c>
      <c r="C208" t="s">
        <v>908</v>
      </c>
      <c r="D208" t="s">
        <v>282</v>
      </c>
      <c r="E208" t="s">
        <v>283</v>
      </c>
      <c r="F208" t="s">
        <v>24</v>
      </c>
      <c r="G208" t="s">
        <v>25</v>
      </c>
      <c r="H208" t="s">
        <v>26</v>
      </c>
      <c r="I208" t="s">
        <v>909</v>
      </c>
      <c r="J208" t="s">
        <v>910</v>
      </c>
      <c r="K208" t="s">
        <v>911</v>
      </c>
      <c r="L208" s="6" t="s">
        <v>1804</v>
      </c>
      <c r="M208" t="str">
        <f t="shared" si="3"/>
        <v>DSALINAS@BBVA.COM,monitoreocgr1.pe@bbva.com</v>
      </c>
    </row>
    <row r="209" spans="1:13" hidden="1" x14ac:dyDescent="0.25">
      <c r="A209" s="1">
        <v>156</v>
      </c>
      <c r="B209" s="1">
        <v>156</v>
      </c>
      <c r="C209" t="s">
        <v>912</v>
      </c>
      <c r="D209" t="s">
        <v>913</v>
      </c>
      <c r="E209" t="s">
        <v>26</v>
      </c>
      <c r="F209" t="s">
        <v>24</v>
      </c>
      <c r="G209" t="s">
        <v>25</v>
      </c>
      <c r="H209" t="s">
        <v>26</v>
      </c>
      <c r="I209" t="s">
        <v>914</v>
      </c>
      <c r="J209" t="s">
        <v>915</v>
      </c>
      <c r="K209" t="s">
        <v>916</v>
      </c>
      <c r="L209" s="6" t="s">
        <v>1804</v>
      </c>
      <c r="M209" t="str">
        <f t="shared" si="3"/>
        <v>MARAUJO@BBVA.COM,monitoreocgr1.pe@bbva.com</v>
      </c>
    </row>
    <row r="210" spans="1:13" hidden="1" x14ac:dyDescent="0.25">
      <c r="A210" s="1">
        <v>253</v>
      </c>
      <c r="B210" s="1">
        <v>253</v>
      </c>
      <c r="C210" t="s">
        <v>917</v>
      </c>
      <c r="D210" t="s">
        <v>188</v>
      </c>
      <c r="E210" t="s">
        <v>189</v>
      </c>
      <c r="F210" t="s">
        <v>24</v>
      </c>
      <c r="G210" t="s">
        <v>25</v>
      </c>
      <c r="H210" t="s">
        <v>26</v>
      </c>
      <c r="I210" t="s">
        <v>918</v>
      </c>
      <c r="J210" t="s">
        <v>919</v>
      </c>
      <c r="K210" t="s">
        <v>920</v>
      </c>
      <c r="L210" s="6" t="s">
        <v>1804</v>
      </c>
      <c r="M210" t="str">
        <f t="shared" si="3"/>
        <v>SPINEDA@BBVA.COM,monitoreocgr1.pe@bbva.com</v>
      </c>
    </row>
    <row r="211" spans="1:13" hidden="1" x14ac:dyDescent="0.25">
      <c r="A211" s="1">
        <v>716</v>
      </c>
      <c r="B211" s="1">
        <v>716</v>
      </c>
      <c r="C211" t="s">
        <v>921</v>
      </c>
      <c r="D211" t="s">
        <v>112</v>
      </c>
      <c r="E211" t="s">
        <v>113</v>
      </c>
      <c r="F211" t="s">
        <v>24</v>
      </c>
      <c r="G211" t="s">
        <v>25</v>
      </c>
      <c r="H211" t="s">
        <v>26</v>
      </c>
      <c r="I211" t="s">
        <v>922</v>
      </c>
      <c r="J211" t="s">
        <v>923</v>
      </c>
      <c r="K211" t="s">
        <v>924</v>
      </c>
      <c r="L211" s="6" t="s">
        <v>1804</v>
      </c>
      <c r="M211" t="str">
        <f t="shared" si="3"/>
        <v>RGARCIAM@BBVA.COM,monitoreocgr1.pe@bbva.com</v>
      </c>
    </row>
    <row r="212" spans="1:13" hidden="1" x14ac:dyDescent="0.25">
      <c r="A212" s="1">
        <v>172</v>
      </c>
      <c r="B212" s="1">
        <v>172</v>
      </c>
      <c r="C212" t="s">
        <v>925</v>
      </c>
      <c r="D212" t="s">
        <v>188</v>
      </c>
      <c r="E212" t="s">
        <v>189</v>
      </c>
      <c r="F212" t="s">
        <v>24</v>
      </c>
      <c r="G212" t="s">
        <v>25</v>
      </c>
      <c r="H212" t="s">
        <v>26</v>
      </c>
      <c r="I212" t="s">
        <v>926</v>
      </c>
      <c r="J212" t="s">
        <v>927</v>
      </c>
      <c r="K212" t="s">
        <v>928</v>
      </c>
      <c r="L212" s="6" t="s">
        <v>1804</v>
      </c>
      <c r="M212" t="str">
        <f t="shared" si="3"/>
        <v>CMEDINAS@BBVA.COM,monitoreocgr1.pe@bbva.com</v>
      </c>
    </row>
    <row r="213" spans="1:13" hidden="1" x14ac:dyDescent="0.25">
      <c r="A213" s="1">
        <v>383</v>
      </c>
      <c r="B213" s="1">
        <v>383</v>
      </c>
      <c r="C213" t="s">
        <v>929</v>
      </c>
      <c r="D213" t="s">
        <v>46</v>
      </c>
      <c r="E213" t="s">
        <v>47</v>
      </c>
      <c r="F213" t="s">
        <v>24</v>
      </c>
      <c r="G213" t="s">
        <v>25</v>
      </c>
      <c r="H213" t="s">
        <v>26</v>
      </c>
      <c r="I213" t="s">
        <v>930</v>
      </c>
      <c r="J213" t="s">
        <v>931</v>
      </c>
      <c r="K213" t="s">
        <v>932</v>
      </c>
      <c r="L213" s="6" t="s">
        <v>1804</v>
      </c>
      <c r="M213" t="str">
        <f t="shared" si="3"/>
        <v>DDIEZ@BBVA.COM,monitoreocgr1.pe@bbva.com</v>
      </c>
    </row>
    <row r="214" spans="1:13" hidden="1" x14ac:dyDescent="0.25">
      <c r="A214" s="1">
        <v>234</v>
      </c>
      <c r="B214" s="1">
        <v>234</v>
      </c>
      <c r="C214" t="s">
        <v>933</v>
      </c>
      <c r="D214" t="s">
        <v>282</v>
      </c>
      <c r="E214" t="s">
        <v>283</v>
      </c>
      <c r="F214" t="s">
        <v>24</v>
      </c>
      <c r="G214" t="s">
        <v>25</v>
      </c>
      <c r="H214" t="s">
        <v>26</v>
      </c>
      <c r="I214" t="s">
        <v>934</v>
      </c>
      <c r="J214" t="s">
        <v>935</v>
      </c>
      <c r="K214" t="s">
        <v>936</v>
      </c>
      <c r="L214" s="6" t="s">
        <v>1804</v>
      </c>
      <c r="M214" t="str">
        <f t="shared" si="3"/>
        <v>OGARCIAT@BBVA.COM,monitoreocgr1.pe@bbva.com</v>
      </c>
    </row>
    <row r="215" spans="1:13" hidden="1" x14ac:dyDescent="0.25">
      <c r="A215" s="1">
        <v>23</v>
      </c>
      <c r="B215" s="1">
        <v>23</v>
      </c>
      <c r="C215" t="s">
        <v>937</v>
      </c>
      <c r="D215" t="s">
        <v>94</v>
      </c>
      <c r="E215" t="s">
        <v>95</v>
      </c>
      <c r="F215" t="s">
        <v>24</v>
      </c>
      <c r="G215" t="s">
        <v>25</v>
      </c>
      <c r="H215" t="s">
        <v>26</v>
      </c>
      <c r="I215" t="s">
        <v>938</v>
      </c>
      <c r="J215" t="s">
        <v>939</v>
      </c>
      <c r="K215" t="s">
        <v>940</v>
      </c>
      <c r="L215" s="6" t="s">
        <v>1804</v>
      </c>
      <c r="M215" t="str">
        <f t="shared" si="3"/>
        <v>KASMAT@BBVA.COM,monitoreocgr1.pe@bbva.com</v>
      </c>
    </row>
    <row r="216" spans="1:13" hidden="1" x14ac:dyDescent="0.25">
      <c r="A216" s="1">
        <v>216</v>
      </c>
      <c r="B216" s="1">
        <v>216</v>
      </c>
      <c r="C216" t="s">
        <v>941</v>
      </c>
      <c r="D216" t="s">
        <v>22</v>
      </c>
      <c r="E216" t="s">
        <v>345</v>
      </c>
      <c r="F216" t="s">
        <v>24</v>
      </c>
      <c r="G216" t="s">
        <v>25</v>
      </c>
      <c r="H216" t="s">
        <v>26</v>
      </c>
      <c r="I216" t="s">
        <v>942</v>
      </c>
      <c r="J216" t="s">
        <v>943</v>
      </c>
      <c r="K216" t="s">
        <v>944</v>
      </c>
      <c r="L216" s="6" t="s">
        <v>1804</v>
      </c>
      <c r="M216" t="str">
        <f t="shared" si="3"/>
        <v>KARICOCHE@BBVA.COM,monitoreocgr1.pe@bbva.com</v>
      </c>
    </row>
    <row r="217" spans="1:13" hidden="1" x14ac:dyDescent="0.25">
      <c r="A217" s="1">
        <v>247</v>
      </c>
      <c r="B217" s="1">
        <v>247</v>
      </c>
      <c r="C217" t="s">
        <v>945</v>
      </c>
      <c r="D217" t="s">
        <v>22</v>
      </c>
      <c r="E217" t="s">
        <v>345</v>
      </c>
      <c r="F217" t="s">
        <v>24</v>
      </c>
      <c r="G217" t="s">
        <v>25</v>
      </c>
      <c r="H217" t="s">
        <v>26</v>
      </c>
      <c r="I217" t="s">
        <v>946</v>
      </c>
      <c r="J217" t="s">
        <v>947</v>
      </c>
      <c r="K217" t="s">
        <v>948</v>
      </c>
      <c r="L217" s="6" t="s">
        <v>1804</v>
      </c>
      <c r="M217" t="str">
        <f t="shared" si="3"/>
        <v>ABALLESTEROS@BBVA.COM,monitoreocgr1.pe@bbva.com</v>
      </c>
    </row>
    <row r="218" spans="1:13" hidden="1" x14ac:dyDescent="0.25">
      <c r="A218" s="1">
        <v>348</v>
      </c>
      <c r="B218" s="1">
        <v>348</v>
      </c>
      <c r="C218" t="s">
        <v>949</v>
      </c>
      <c r="D218" t="s">
        <v>22</v>
      </c>
      <c r="E218" t="s">
        <v>345</v>
      </c>
      <c r="F218" t="s">
        <v>24</v>
      </c>
      <c r="G218" t="s">
        <v>25</v>
      </c>
      <c r="H218" t="s">
        <v>26</v>
      </c>
      <c r="I218" t="s">
        <v>950</v>
      </c>
      <c r="J218" t="s">
        <v>951</v>
      </c>
      <c r="K218" t="s">
        <v>952</v>
      </c>
      <c r="L218" s="6" t="s">
        <v>1804</v>
      </c>
      <c r="M218" t="str">
        <f t="shared" si="3"/>
        <v>GCASTILLOQ@BBVA.COM,monitoreocgr1.pe@bbva.com</v>
      </c>
    </row>
    <row r="219" spans="1:13" hidden="1" x14ac:dyDescent="0.25">
      <c r="A219" s="1">
        <v>291</v>
      </c>
      <c r="B219" s="1">
        <v>291</v>
      </c>
      <c r="C219" t="s">
        <v>953</v>
      </c>
      <c r="D219" t="s">
        <v>22</v>
      </c>
      <c r="E219" t="s">
        <v>345</v>
      </c>
      <c r="F219" t="s">
        <v>24</v>
      </c>
      <c r="G219" t="s">
        <v>25</v>
      </c>
      <c r="H219" t="s">
        <v>26</v>
      </c>
      <c r="I219" t="s">
        <v>954</v>
      </c>
      <c r="J219" t="s">
        <v>955</v>
      </c>
      <c r="K219" t="s">
        <v>956</v>
      </c>
      <c r="L219" s="6" t="s">
        <v>1804</v>
      </c>
      <c r="M219" t="str">
        <f t="shared" si="3"/>
        <v>MFALLA@BBVA.COM,monitoreocgr1.pe@bbva.com</v>
      </c>
    </row>
    <row r="220" spans="1:13" hidden="1" x14ac:dyDescent="0.25">
      <c r="A220" s="1">
        <v>164</v>
      </c>
      <c r="B220" s="1">
        <v>164</v>
      </c>
      <c r="C220" t="s">
        <v>957</v>
      </c>
      <c r="D220" t="s">
        <v>122</v>
      </c>
      <c r="E220" t="s">
        <v>123</v>
      </c>
      <c r="F220" t="s">
        <v>24</v>
      </c>
      <c r="G220" t="s">
        <v>25</v>
      </c>
      <c r="H220" t="s">
        <v>26</v>
      </c>
      <c r="I220" t="s">
        <v>958</v>
      </c>
      <c r="J220" t="s">
        <v>959</v>
      </c>
      <c r="K220" t="s">
        <v>960</v>
      </c>
      <c r="L220" s="6" t="s">
        <v>1804</v>
      </c>
      <c r="M220" t="str">
        <f t="shared" si="3"/>
        <v>UGALLEGOS@BBVA.COM,monitoreocgr1.pe@bbva.com</v>
      </c>
    </row>
    <row r="221" spans="1:13" hidden="1" x14ac:dyDescent="0.25">
      <c r="A221" s="1">
        <v>286</v>
      </c>
      <c r="B221" s="1">
        <v>286</v>
      </c>
      <c r="C221" t="s">
        <v>961</v>
      </c>
      <c r="D221" t="s">
        <v>178</v>
      </c>
      <c r="E221" t="s">
        <v>179</v>
      </c>
      <c r="F221" t="s">
        <v>24</v>
      </c>
      <c r="G221" t="s">
        <v>25</v>
      </c>
      <c r="H221" t="s">
        <v>26</v>
      </c>
      <c r="I221" t="s">
        <v>962</v>
      </c>
      <c r="J221" t="s">
        <v>963</v>
      </c>
      <c r="K221" t="s">
        <v>964</v>
      </c>
      <c r="L221" s="6" t="s">
        <v>1804</v>
      </c>
      <c r="M221" t="str">
        <f t="shared" si="3"/>
        <v>JGRANDEZO@BBVA.COM,monitoreocgr1.pe@bbva.com</v>
      </c>
    </row>
    <row r="222" spans="1:13" hidden="1" x14ac:dyDescent="0.25">
      <c r="A222" s="1">
        <v>118</v>
      </c>
      <c r="B222" s="1">
        <v>118</v>
      </c>
      <c r="C222" t="s">
        <v>965</v>
      </c>
      <c r="D222" t="s">
        <v>122</v>
      </c>
      <c r="E222" t="s">
        <v>123</v>
      </c>
      <c r="F222" t="s">
        <v>24</v>
      </c>
      <c r="G222" t="s">
        <v>25</v>
      </c>
      <c r="H222" t="s">
        <v>26</v>
      </c>
      <c r="I222" t="s">
        <v>966</v>
      </c>
      <c r="J222" t="s">
        <v>967</v>
      </c>
      <c r="K222" t="s">
        <v>968</v>
      </c>
      <c r="L222" s="6" t="s">
        <v>1804</v>
      </c>
      <c r="M222" t="str">
        <f t="shared" si="3"/>
        <v>MPALOMARES@BBVA.COM,monitoreocgr1.pe@bbva.com</v>
      </c>
    </row>
    <row r="223" spans="1:13" hidden="1" x14ac:dyDescent="0.25">
      <c r="A223" s="1">
        <v>352</v>
      </c>
      <c r="B223" s="1">
        <v>352</v>
      </c>
      <c r="C223" t="s">
        <v>969</v>
      </c>
      <c r="D223" t="s">
        <v>112</v>
      </c>
      <c r="E223" t="s">
        <v>113</v>
      </c>
      <c r="F223" t="s">
        <v>24</v>
      </c>
      <c r="G223" t="s">
        <v>25</v>
      </c>
      <c r="H223" t="s">
        <v>26</v>
      </c>
      <c r="I223" t="s">
        <v>970</v>
      </c>
      <c r="J223" t="s">
        <v>971</v>
      </c>
      <c r="K223" t="s">
        <v>972</v>
      </c>
      <c r="L223" s="6" t="s">
        <v>1804</v>
      </c>
      <c r="M223" t="str">
        <f t="shared" si="3"/>
        <v>SDSALDANA@BBVA.COM,monitoreocgr1.pe@bbva.com</v>
      </c>
    </row>
    <row r="224" spans="1:13" hidden="1" x14ac:dyDescent="0.25">
      <c r="A224" s="1">
        <v>872</v>
      </c>
      <c r="B224" s="1">
        <v>872</v>
      </c>
      <c r="C224" t="s">
        <v>973</v>
      </c>
      <c r="D224" t="s">
        <v>178</v>
      </c>
      <c r="E224" t="s">
        <v>179</v>
      </c>
      <c r="F224" t="s">
        <v>24</v>
      </c>
      <c r="G224" t="s">
        <v>25</v>
      </c>
      <c r="H224" t="s">
        <v>26</v>
      </c>
      <c r="I224" t="s">
        <v>974</v>
      </c>
      <c r="J224" t="s">
        <v>975</v>
      </c>
      <c r="K224" t="s">
        <v>976</v>
      </c>
      <c r="L224" s="6" t="s">
        <v>1804</v>
      </c>
      <c r="M224" t="str">
        <f t="shared" si="3"/>
        <v>PSIMBORTH@BBVA.COM,monitoreocgr1.pe@bbva.com</v>
      </c>
    </row>
    <row r="225" spans="1:13" hidden="1" x14ac:dyDescent="0.25">
      <c r="A225" s="1">
        <v>195</v>
      </c>
      <c r="B225" s="1">
        <v>195</v>
      </c>
      <c r="C225" t="s">
        <v>977</v>
      </c>
      <c r="D225" t="s">
        <v>178</v>
      </c>
      <c r="E225" t="s">
        <v>179</v>
      </c>
      <c r="F225" t="s">
        <v>24</v>
      </c>
      <c r="G225" t="s">
        <v>25</v>
      </c>
      <c r="H225" t="s">
        <v>26</v>
      </c>
      <c r="I225" t="s">
        <v>978</v>
      </c>
      <c r="J225" t="s">
        <v>979</v>
      </c>
      <c r="K225" t="s">
        <v>980</v>
      </c>
      <c r="L225" s="6" t="s">
        <v>1804</v>
      </c>
      <c r="M225" t="str">
        <f t="shared" si="3"/>
        <v>SGVARGAS@BBVA.COM,monitoreocgr1.pe@bbva.com</v>
      </c>
    </row>
    <row r="226" spans="1:13" hidden="1" x14ac:dyDescent="0.25">
      <c r="A226" s="1">
        <v>276</v>
      </c>
      <c r="B226" s="1">
        <v>276</v>
      </c>
      <c r="C226" t="s">
        <v>981</v>
      </c>
      <c r="D226" t="s">
        <v>188</v>
      </c>
      <c r="E226" t="s">
        <v>189</v>
      </c>
      <c r="F226" t="s">
        <v>24</v>
      </c>
      <c r="G226" t="s">
        <v>25</v>
      </c>
      <c r="H226" t="s">
        <v>26</v>
      </c>
      <c r="I226" t="s">
        <v>982</v>
      </c>
      <c r="J226" t="s">
        <v>983</v>
      </c>
      <c r="K226" t="s">
        <v>984</v>
      </c>
      <c r="L226" s="6" t="s">
        <v>1804</v>
      </c>
      <c r="M226" t="str">
        <f t="shared" si="3"/>
        <v>EPEREZI@BBVA.COM,monitoreocgr1.pe@bbva.com</v>
      </c>
    </row>
    <row r="227" spans="1:13" hidden="1" x14ac:dyDescent="0.25">
      <c r="A227" s="1">
        <v>148</v>
      </c>
      <c r="B227" s="1">
        <v>148</v>
      </c>
      <c r="C227" t="s">
        <v>985</v>
      </c>
      <c r="D227" t="s">
        <v>122</v>
      </c>
      <c r="E227" t="s">
        <v>123</v>
      </c>
      <c r="F227" t="s">
        <v>24</v>
      </c>
      <c r="G227" t="s">
        <v>25</v>
      </c>
      <c r="H227" t="s">
        <v>26</v>
      </c>
      <c r="I227" t="s">
        <v>986</v>
      </c>
      <c r="J227" t="s">
        <v>987</v>
      </c>
      <c r="K227" t="s">
        <v>988</v>
      </c>
      <c r="L227" s="6" t="s">
        <v>1804</v>
      </c>
      <c r="M227" t="str">
        <f t="shared" si="3"/>
        <v>M.GONZALESL@BBVA.COM,monitoreocgr1.pe@bbva.com</v>
      </c>
    </row>
    <row r="228" spans="1:13" hidden="1" x14ac:dyDescent="0.25">
      <c r="A228" s="1">
        <v>324</v>
      </c>
      <c r="B228" s="1">
        <v>324</v>
      </c>
      <c r="C228" t="s">
        <v>989</v>
      </c>
      <c r="D228" t="s">
        <v>254</v>
      </c>
      <c r="E228" t="s">
        <v>312</v>
      </c>
      <c r="F228" t="s">
        <v>24</v>
      </c>
      <c r="G228" t="s">
        <v>25</v>
      </c>
      <c r="H228" t="s">
        <v>26</v>
      </c>
      <c r="I228" t="s">
        <v>990</v>
      </c>
      <c r="J228" t="s">
        <v>991</v>
      </c>
      <c r="K228" t="s">
        <v>992</v>
      </c>
      <c r="L228" s="6" t="s">
        <v>1804</v>
      </c>
      <c r="M228" t="str">
        <f t="shared" si="3"/>
        <v>CFMARQUEZ@BBVA.COM,monitoreocgr1.pe@bbva.com</v>
      </c>
    </row>
    <row r="229" spans="1:13" hidden="1" x14ac:dyDescent="0.25">
      <c r="A229" s="1">
        <v>107</v>
      </c>
      <c r="B229" s="1">
        <v>107</v>
      </c>
      <c r="C229" t="s">
        <v>993</v>
      </c>
      <c r="D229" t="s">
        <v>46</v>
      </c>
      <c r="E229" t="s">
        <v>47</v>
      </c>
      <c r="F229" t="s">
        <v>24</v>
      </c>
      <c r="G229" t="s">
        <v>25</v>
      </c>
      <c r="H229" t="s">
        <v>26</v>
      </c>
      <c r="I229" t="s">
        <v>994</v>
      </c>
      <c r="J229" t="s">
        <v>995</v>
      </c>
      <c r="K229" t="s">
        <v>996</v>
      </c>
      <c r="L229" s="6" t="s">
        <v>1804</v>
      </c>
      <c r="M229" t="str">
        <f t="shared" si="3"/>
        <v>VRBARZOLA@BBVA.COM,monitoreocgr1.pe@bbva.com</v>
      </c>
    </row>
    <row r="230" spans="1:13" hidden="1" x14ac:dyDescent="0.25">
      <c r="A230" s="1">
        <v>315</v>
      </c>
      <c r="B230" s="1">
        <v>315</v>
      </c>
      <c r="C230" t="s">
        <v>997</v>
      </c>
      <c r="D230" t="s">
        <v>152</v>
      </c>
      <c r="E230" t="s">
        <v>153</v>
      </c>
      <c r="F230" t="s">
        <v>24</v>
      </c>
      <c r="G230" t="s">
        <v>25</v>
      </c>
      <c r="H230" t="s">
        <v>26</v>
      </c>
      <c r="I230" t="s">
        <v>998</v>
      </c>
      <c r="J230" t="s">
        <v>999</v>
      </c>
      <c r="K230" t="s">
        <v>1000</v>
      </c>
      <c r="L230" s="6" t="s">
        <v>1804</v>
      </c>
      <c r="M230" t="str">
        <f t="shared" si="3"/>
        <v>NALLENDE@BBVA.COM,monitoreocgr1.pe@bbva.com</v>
      </c>
    </row>
    <row r="231" spans="1:13" hidden="1" x14ac:dyDescent="0.25">
      <c r="A231" s="1">
        <v>339</v>
      </c>
      <c r="B231" s="1">
        <v>339</v>
      </c>
      <c r="C231" t="s">
        <v>1001</v>
      </c>
      <c r="D231" t="s">
        <v>46</v>
      </c>
      <c r="E231" t="s">
        <v>47</v>
      </c>
      <c r="F231" t="s">
        <v>24</v>
      </c>
      <c r="G231" t="s">
        <v>25</v>
      </c>
      <c r="H231" t="s">
        <v>26</v>
      </c>
      <c r="I231" t="s">
        <v>1002</v>
      </c>
      <c r="J231" t="s">
        <v>1003</v>
      </c>
      <c r="K231" t="s">
        <v>1004</v>
      </c>
      <c r="L231" s="6" t="s">
        <v>1804</v>
      </c>
      <c r="M231" t="str">
        <f t="shared" si="3"/>
        <v>MDONAYRE@BBVA.COM,monitoreocgr1.pe@bbva.com</v>
      </c>
    </row>
    <row r="232" spans="1:13" hidden="1" x14ac:dyDescent="0.25">
      <c r="A232" s="1">
        <v>211</v>
      </c>
      <c r="B232" s="1">
        <v>211</v>
      </c>
      <c r="C232" t="s">
        <v>1005</v>
      </c>
      <c r="D232" t="s">
        <v>282</v>
      </c>
      <c r="E232" t="s">
        <v>283</v>
      </c>
      <c r="F232" t="s">
        <v>24</v>
      </c>
      <c r="G232" t="s">
        <v>25</v>
      </c>
      <c r="H232" t="s">
        <v>26</v>
      </c>
      <c r="I232" t="s">
        <v>1006</v>
      </c>
      <c r="J232" t="s">
        <v>1007</v>
      </c>
      <c r="K232" t="s">
        <v>1008</v>
      </c>
      <c r="L232" s="6" t="s">
        <v>1804</v>
      </c>
      <c r="M232" t="str">
        <f t="shared" si="3"/>
        <v>AGZEGARRA@BBVA.COM,monitoreocgr1.pe@bbva.com</v>
      </c>
    </row>
    <row r="233" spans="1:13" hidden="1" x14ac:dyDescent="0.25">
      <c r="A233" s="1">
        <v>240</v>
      </c>
      <c r="B233" s="1">
        <v>240</v>
      </c>
      <c r="C233" t="s">
        <v>1009</v>
      </c>
      <c r="D233" t="s">
        <v>282</v>
      </c>
      <c r="E233" t="s">
        <v>283</v>
      </c>
      <c r="F233" t="s">
        <v>24</v>
      </c>
      <c r="G233" t="s">
        <v>25</v>
      </c>
      <c r="H233" t="s">
        <v>26</v>
      </c>
      <c r="I233" t="s">
        <v>1010</v>
      </c>
      <c r="J233" t="s">
        <v>1011</v>
      </c>
      <c r="K233" t="s">
        <v>1012</v>
      </c>
      <c r="L233" s="6" t="s">
        <v>1804</v>
      </c>
      <c r="M233" t="str">
        <f t="shared" si="3"/>
        <v>DCANALES@BBVA.COM,monitoreocgr1.pe@bbva.com</v>
      </c>
    </row>
    <row r="234" spans="1:13" hidden="1" x14ac:dyDescent="0.25">
      <c r="A234" s="1">
        <v>146</v>
      </c>
      <c r="B234" s="1">
        <v>146</v>
      </c>
      <c r="C234" t="s">
        <v>1013</v>
      </c>
      <c r="D234" t="s">
        <v>152</v>
      </c>
      <c r="E234" t="s">
        <v>153</v>
      </c>
      <c r="F234" t="s">
        <v>24</v>
      </c>
      <c r="G234" t="s">
        <v>25</v>
      </c>
      <c r="H234" t="s">
        <v>26</v>
      </c>
      <c r="I234" t="s">
        <v>1014</v>
      </c>
      <c r="J234" t="s">
        <v>1015</v>
      </c>
      <c r="K234" t="s">
        <v>1016</v>
      </c>
      <c r="L234" s="6" t="s">
        <v>1804</v>
      </c>
      <c r="M234" t="str">
        <f t="shared" si="3"/>
        <v>KCAHUAS@BBVA.COM,monitoreocgr1.pe@bbva.com</v>
      </c>
    </row>
    <row r="235" spans="1:13" x14ac:dyDescent="0.25">
      <c r="A235" s="1">
        <v>130</v>
      </c>
      <c r="B235" s="1">
        <v>130</v>
      </c>
      <c r="C235" t="s">
        <v>1017</v>
      </c>
      <c r="D235" t="s">
        <v>70</v>
      </c>
      <c r="E235" t="s">
        <v>71</v>
      </c>
      <c r="F235" t="s">
        <v>24</v>
      </c>
      <c r="G235" t="s">
        <v>25</v>
      </c>
      <c r="H235" t="s">
        <v>26</v>
      </c>
      <c r="I235" t="s">
        <v>1018</v>
      </c>
      <c r="J235" t="s">
        <v>1019</v>
      </c>
      <c r="K235" t="s">
        <v>1020</v>
      </c>
      <c r="L235" s="6" t="s">
        <v>1804</v>
      </c>
      <c r="M235" t="str">
        <f t="shared" si="3"/>
        <v>DIANA.DELGADOP@BBVA.COM,monitoreocgr1.pe@bbva.com</v>
      </c>
    </row>
    <row r="236" spans="1:13" hidden="1" x14ac:dyDescent="0.25">
      <c r="A236" s="1">
        <v>369</v>
      </c>
      <c r="B236" s="1">
        <v>369</v>
      </c>
      <c r="C236" t="s">
        <v>1021</v>
      </c>
      <c r="D236" t="s">
        <v>112</v>
      </c>
      <c r="E236" t="s">
        <v>113</v>
      </c>
      <c r="F236" t="s">
        <v>24</v>
      </c>
      <c r="G236" t="s">
        <v>25</v>
      </c>
      <c r="H236" t="s">
        <v>26</v>
      </c>
      <c r="I236" t="s">
        <v>1022</v>
      </c>
      <c r="J236" t="s">
        <v>1023</v>
      </c>
      <c r="K236" t="s">
        <v>1024</v>
      </c>
      <c r="L236" s="6" t="s">
        <v>1804</v>
      </c>
      <c r="M236" t="str">
        <f t="shared" si="3"/>
        <v>CIMIRANDA@BBVA.COM,monitoreocgr1.pe@bbva.com</v>
      </c>
    </row>
    <row r="237" spans="1:13" hidden="1" x14ac:dyDescent="0.25">
      <c r="A237" s="1">
        <v>120</v>
      </c>
      <c r="B237" s="1">
        <v>120</v>
      </c>
      <c r="C237" t="s">
        <v>1025</v>
      </c>
      <c r="D237" t="s">
        <v>46</v>
      </c>
      <c r="E237" t="s">
        <v>47</v>
      </c>
      <c r="F237" t="s">
        <v>24</v>
      </c>
      <c r="G237" t="s">
        <v>25</v>
      </c>
      <c r="H237" t="s">
        <v>26</v>
      </c>
      <c r="I237" t="s">
        <v>1026</v>
      </c>
      <c r="J237" t="s">
        <v>1027</v>
      </c>
      <c r="K237" t="s">
        <v>1028</v>
      </c>
      <c r="L237" s="6" t="s">
        <v>1804</v>
      </c>
      <c r="M237" t="str">
        <f t="shared" si="3"/>
        <v>OBAHAMONDE@BBVA.COM,monitoreocgr1.pe@bbva.com</v>
      </c>
    </row>
    <row r="238" spans="1:13" hidden="1" x14ac:dyDescent="0.25">
      <c r="A238" s="1">
        <v>843</v>
      </c>
      <c r="B238" s="1">
        <v>843</v>
      </c>
      <c r="C238" t="s">
        <v>1029</v>
      </c>
      <c r="D238" t="s">
        <v>22</v>
      </c>
      <c r="E238" t="s">
        <v>345</v>
      </c>
      <c r="F238" t="s">
        <v>24</v>
      </c>
      <c r="G238" t="s">
        <v>25</v>
      </c>
      <c r="H238" t="s">
        <v>26</v>
      </c>
      <c r="I238" t="s">
        <v>1030</v>
      </c>
      <c r="J238" t="s">
        <v>1031</v>
      </c>
      <c r="K238" t="s">
        <v>1032</v>
      </c>
      <c r="L238" s="6" t="s">
        <v>1804</v>
      </c>
      <c r="M238" t="str">
        <f t="shared" si="3"/>
        <v>VORDONEZ@BBVA.COM,monitoreocgr1.pe@bbva.com</v>
      </c>
    </row>
    <row r="239" spans="1:13" hidden="1" x14ac:dyDescent="0.25">
      <c r="A239" s="1">
        <v>160</v>
      </c>
      <c r="B239" s="1">
        <v>160</v>
      </c>
      <c r="C239" t="s">
        <v>1033</v>
      </c>
      <c r="D239" t="s">
        <v>178</v>
      </c>
      <c r="E239" t="s">
        <v>179</v>
      </c>
      <c r="F239" t="s">
        <v>24</v>
      </c>
      <c r="G239" t="s">
        <v>25</v>
      </c>
      <c r="H239" t="s">
        <v>26</v>
      </c>
      <c r="I239" t="s">
        <v>1034</v>
      </c>
      <c r="J239" t="s">
        <v>1035</v>
      </c>
      <c r="K239" t="s">
        <v>1036</v>
      </c>
      <c r="L239" s="6" t="s">
        <v>1804</v>
      </c>
      <c r="M239" t="str">
        <f t="shared" si="3"/>
        <v>JAREVALO@BBVA.COM,monitoreocgr1.pe@bbva.com</v>
      </c>
    </row>
    <row r="240" spans="1:13" hidden="1" x14ac:dyDescent="0.25">
      <c r="A240" s="1">
        <v>357</v>
      </c>
      <c r="B240" s="1">
        <v>357</v>
      </c>
      <c r="C240" t="s">
        <v>1037</v>
      </c>
      <c r="D240" t="s">
        <v>112</v>
      </c>
      <c r="E240" t="s">
        <v>113</v>
      </c>
      <c r="F240" t="s">
        <v>24</v>
      </c>
      <c r="G240" t="s">
        <v>25</v>
      </c>
      <c r="H240" t="s">
        <v>26</v>
      </c>
      <c r="I240" t="s">
        <v>1038</v>
      </c>
      <c r="J240" t="s">
        <v>1039</v>
      </c>
      <c r="K240" t="s">
        <v>1040</v>
      </c>
      <c r="L240" s="6" t="s">
        <v>1804</v>
      </c>
      <c r="M240" t="str">
        <f t="shared" si="3"/>
        <v>DSANTOS@BBVA.COM,monitoreocgr1.pe@bbva.com</v>
      </c>
    </row>
    <row r="241" spans="1:13" hidden="1" x14ac:dyDescent="0.25">
      <c r="A241" s="1">
        <v>116</v>
      </c>
      <c r="B241" s="1">
        <v>116</v>
      </c>
      <c r="C241" t="s">
        <v>1041</v>
      </c>
      <c r="D241" t="s">
        <v>188</v>
      </c>
      <c r="E241" t="s">
        <v>189</v>
      </c>
      <c r="F241" t="s">
        <v>24</v>
      </c>
      <c r="G241" t="s">
        <v>25</v>
      </c>
      <c r="H241" t="s">
        <v>26</v>
      </c>
      <c r="I241" t="s">
        <v>1042</v>
      </c>
      <c r="J241" t="s">
        <v>1043</v>
      </c>
      <c r="K241" t="s">
        <v>1044</v>
      </c>
      <c r="L241" s="6" t="s">
        <v>1804</v>
      </c>
      <c r="M241" t="str">
        <f t="shared" si="3"/>
        <v>VGORDILLO@BBVA.COM,monitoreocgr1.pe@bbva.com</v>
      </c>
    </row>
    <row r="242" spans="1:13" hidden="1" x14ac:dyDescent="0.25">
      <c r="A242" s="1">
        <v>319</v>
      </c>
      <c r="B242" s="1">
        <v>319</v>
      </c>
      <c r="C242" t="s">
        <v>1045</v>
      </c>
      <c r="D242" t="s">
        <v>188</v>
      </c>
      <c r="E242" t="s">
        <v>189</v>
      </c>
      <c r="F242" t="s">
        <v>24</v>
      </c>
      <c r="G242" t="s">
        <v>25</v>
      </c>
      <c r="H242" t="s">
        <v>26</v>
      </c>
      <c r="I242" t="s">
        <v>1046</v>
      </c>
      <c r="J242" t="s">
        <v>1047</v>
      </c>
      <c r="K242" t="s">
        <v>1048</v>
      </c>
      <c r="L242" s="6" t="s">
        <v>1804</v>
      </c>
      <c r="M242" t="str">
        <f t="shared" si="3"/>
        <v>DLAZARTE@BBVA.COM,monitoreocgr1.pe@bbva.com</v>
      </c>
    </row>
    <row r="243" spans="1:13" hidden="1" x14ac:dyDescent="0.25">
      <c r="A243" s="1">
        <v>316</v>
      </c>
      <c r="B243" s="1">
        <v>316</v>
      </c>
      <c r="C243" t="s">
        <v>1049</v>
      </c>
      <c r="D243" t="s">
        <v>188</v>
      </c>
      <c r="E243" t="s">
        <v>189</v>
      </c>
      <c r="F243" t="s">
        <v>24</v>
      </c>
      <c r="G243" t="s">
        <v>25</v>
      </c>
      <c r="H243" t="s">
        <v>26</v>
      </c>
      <c r="I243" t="s">
        <v>1050</v>
      </c>
      <c r="J243" t="s">
        <v>1051</v>
      </c>
      <c r="K243" t="s">
        <v>1052</v>
      </c>
      <c r="L243" s="6" t="s">
        <v>1804</v>
      </c>
      <c r="M243" t="str">
        <f t="shared" si="3"/>
        <v>CLOPEZ@BBVA.COM,monitoreocgr1.pe@bbva.com</v>
      </c>
    </row>
    <row r="244" spans="1:13" hidden="1" x14ac:dyDescent="0.25">
      <c r="A244" s="1">
        <v>176</v>
      </c>
      <c r="B244" s="1">
        <v>176</v>
      </c>
      <c r="C244" t="s">
        <v>1053</v>
      </c>
      <c r="D244" t="s">
        <v>188</v>
      </c>
      <c r="E244" t="s">
        <v>189</v>
      </c>
      <c r="F244" t="s">
        <v>24</v>
      </c>
      <c r="G244" t="s">
        <v>25</v>
      </c>
      <c r="H244" t="s">
        <v>26</v>
      </c>
      <c r="I244" t="s">
        <v>1054</v>
      </c>
      <c r="J244" t="s">
        <v>1055</v>
      </c>
      <c r="K244" t="s">
        <v>1056</v>
      </c>
      <c r="L244" s="6" t="s">
        <v>1804</v>
      </c>
      <c r="M244" t="str">
        <f t="shared" si="3"/>
        <v>MQUEREVALU@BBVA.COM,monitoreocgr1.pe@bbva.com</v>
      </c>
    </row>
    <row r="245" spans="1:13" x14ac:dyDescent="0.25">
      <c r="A245" s="1">
        <v>101</v>
      </c>
      <c r="B245" s="1">
        <v>101</v>
      </c>
      <c r="C245" t="s">
        <v>1057</v>
      </c>
      <c r="D245" t="s">
        <v>70</v>
      </c>
      <c r="E245" t="s">
        <v>71</v>
      </c>
      <c r="F245" t="s">
        <v>24</v>
      </c>
      <c r="G245" t="s">
        <v>25</v>
      </c>
      <c r="H245" t="s">
        <v>26</v>
      </c>
      <c r="I245" t="s">
        <v>1058</v>
      </c>
      <c r="J245" t="s">
        <v>1059</v>
      </c>
      <c r="K245" t="s">
        <v>1060</v>
      </c>
      <c r="L245" s="6" t="s">
        <v>1804</v>
      </c>
      <c r="M245" t="str">
        <f t="shared" si="3"/>
        <v>CVALLADARES@BBVA.COM,monitoreocgr1.pe@bbva.com</v>
      </c>
    </row>
    <row r="246" spans="1:13" hidden="1" x14ac:dyDescent="0.25">
      <c r="A246" s="1">
        <v>48</v>
      </c>
      <c r="B246" s="1">
        <v>48</v>
      </c>
      <c r="C246" t="s">
        <v>1061</v>
      </c>
      <c r="D246" t="s">
        <v>282</v>
      </c>
      <c r="E246" t="s">
        <v>283</v>
      </c>
      <c r="F246" t="s">
        <v>24</v>
      </c>
      <c r="G246" t="s">
        <v>25</v>
      </c>
      <c r="H246" t="s">
        <v>26</v>
      </c>
      <c r="I246" t="s">
        <v>1062</v>
      </c>
      <c r="J246" t="s">
        <v>1063</v>
      </c>
      <c r="K246" t="s">
        <v>1064</v>
      </c>
      <c r="L246" s="6" t="s">
        <v>1804</v>
      </c>
      <c r="M246" t="str">
        <f t="shared" si="3"/>
        <v>NGANOZA@BBVA.COM,monitoreocgr1.pe@bbva.com</v>
      </c>
    </row>
    <row r="247" spans="1:13" hidden="1" x14ac:dyDescent="0.25">
      <c r="A247" s="1">
        <v>614</v>
      </c>
      <c r="B247" s="1">
        <v>614</v>
      </c>
      <c r="C247" t="s">
        <v>1065</v>
      </c>
      <c r="D247" t="s">
        <v>178</v>
      </c>
      <c r="E247" t="s">
        <v>179</v>
      </c>
      <c r="F247" t="s">
        <v>24</v>
      </c>
      <c r="G247" t="s">
        <v>25</v>
      </c>
      <c r="H247" t="s">
        <v>26</v>
      </c>
      <c r="I247" t="s">
        <v>1066</v>
      </c>
      <c r="J247" t="s">
        <v>1067</v>
      </c>
      <c r="K247" t="s">
        <v>1068</v>
      </c>
      <c r="L247" s="6" t="s">
        <v>1804</v>
      </c>
      <c r="M247" t="str">
        <f t="shared" si="3"/>
        <v>KLLOSA@BBVA.COM,monitoreocgr1.pe@bbva.com</v>
      </c>
    </row>
    <row r="248" spans="1:13" hidden="1" x14ac:dyDescent="0.25">
      <c r="A248" s="1">
        <v>203</v>
      </c>
      <c r="B248" s="1">
        <v>203</v>
      </c>
      <c r="C248" t="s">
        <v>1069</v>
      </c>
      <c r="D248" t="s">
        <v>282</v>
      </c>
      <c r="E248" t="s">
        <v>283</v>
      </c>
      <c r="F248" t="s">
        <v>24</v>
      </c>
      <c r="G248" t="s">
        <v>25</v>
      </c>
      <c r="H248" t="s">
        <v>26</v>
      </c>
      <c r="I248" t="s">
        <v>1070</v>
      </c>
      <c r="J248" t="s">
        <v>1071</v>
      </c>
      <c r="K248" t="s">
        <v>1072</v>
      </c>
      <c r="L248" s="6" t="s">
        <v>1804</v>
      </c>
      <c r="M248" t="str">
        <f t="shared" si="3"/>
        <v>DCCOICCA@BBVA.COM,monitoreocgr1.pe@bbva.com</v>
      </c>
    </row>
    <row r="249" spans="1:13" hidden="1" x14ac:dyDescent="0.25">
      <c r="A249" s="1">
        <v>265</v>
      </c>
      <c r="B249" s="1">
        <v>265</v>
      </c>
      <c r="C249" t="s">
        <v>1073</v>
      </c>
      <c r="D249" t="s">
        <v>22</v>
      </c>
      <c r="E249" t="s">
        <v>345</v>
      </c>
      <c r="F249" t="s">
        <v>24</v>
      </c>
      <c r="G249" t="s">
        <v>25</v>
      </c>
      <c r="H249" t="s">
        <v>26</v>
      </c>
      <c r="I249" t="s">
        <v>1074</v>
      </c>
      <c r="J249" t="s">
        <v>1075</v>
      </c>
      <c r="K249" t="s">
        <v>1076</v>
      </c>
      <c r="L249" s="6" t="s">
        <v>1804</v>
      </c>
      <c r="M249" t="str">
        <f t="shared" si="3"/>
        <v>KACOSTA@BBVA.COM,monitoreocgr1.pe@bbva.com</v>
      </c>
    </row>
    <row r="250" spans="1:13" hidden="1" x14ac:dyDescent="0.25">
      <c r="A250" s="1">
        <v>939</v>
      </c>
      <c r="B250" s="1">
        <v>939</v>
      </c>
      <c r="C250" t="s">
        <v>1077</v>
      </c>
      <c r="D250" t="s">
        <v>112</v>
      </c>
      <c r="E250" t="s">
        <v>113</v>
      </c>
      <c r="F250" t="s">
        <v>24</v>
      </c>
      <c r="G250" t="s">
        <v>25</v>
      </c>
      <c r="H250" t="s">
        <v>26</v>
      </c>
      <c r="I250" t="s">
        <v>1078</v>
      </c>
      <c r="J250" t="s">
        <v>1079</v>
      </c>
      <c r="K250" t="s">
        <v>1080</v>
      </c>
      <c r="L250" s="6" t="s">
        <v>1804</v>
      </c>
      <c r="M250" t="str">
        <f t="shared" si="3"/>
        <v>LBARTRA@BBVA.COM,monitoreocgr1.pe@bbva.com</v>
      </c>
    </row>
    <row r="251" spans="1:13" hidden="1" x14ac:dyDescent="0.25">
      <c r="A251" s="1">
        <v>166</v>
      </c>
      <c r="B251" s="1">
        <v>166</v>
      </c>
      <c r="C251" t="s">
        <v>1081</v>
      </c>
      <c r="D251" t="s">
        <v>46</v>
      </c>
      <c r="E251" t="s">
        <v>47</v>
      </c>
      <c r="F251" t="s">
        <v>24</v>
      </c>
      <c r="G251" t="s">
        <v>25</v>
      </c>
      <c r="H251" t="s">
        <v>26</v>
      </c>
      <c r="I251" t="s">
        <v>1082</v>
      </c>
      <c r="J251" t="s">
        <v>1083</v>
      </c>
      <c r="K251" t="s">
        <v>1084</v>
      </c>
      <c r="L251" s="6" t="s">
        <v>1804</v>
      </c>
      <c r="M251" t="str">
        <f t="shared" si="3"/>
        <v>MPELAEZ@BBVA.COM,monitoreocgr1.pe@bbva.com</v>
      </c>
    </row>
    <row r="252" spans="1:13" hidden="1" x14ac:dyDescent="0.25">
      <c r="A252" s="1">
        <v>732</v>
      </c>
      <c r="B252" s="1">
        <v>732</v>
      </c>
      <c r="C252" t="s">
        <v>1085</v>
      </c>
      <c r="D252" t="s">
        <v>112</v>
      </c>
      <c r="E252" t="s">
        <v>113</v>
      </c>
      <c r="F252" t="s">
        <v>24</v>
      </c>
      <c r="G252" t="s">
        <v>25</v>
      </c>
      <c r="H252" t="s">
        <v>26</v>
      </c>
      <c r="I252" t="s">
        <v>1086</v>
      </c>
      <c r="J252" t="s">
        <v>1087</v>
      </c>
      <c r="K252" t="s">
        <v>1088</v>
      </c>
      <c r="L252" s="6" t="s">
        <v>1804</v>
      </c>
      <c r="M252" t="str">
        <f t="shared" si="3"/>
        <v>VZOROGASTUA@BBVA.COM,monitoreocgr1.pe@bbva.com</v>
      </c>
    </row>
    <row r="253" spans="1:13" hidden="1" x14ac:dyDescent="0.25">
      <c r="A253" s="1">
        <v>58</v>
      </c>
      <c r="B253" s="1">
        <v>58</v>
      </c>
      <c r="C253" t="s">
        <v>1089</v>
      </c>
      <c r="D253" t="s">
        <v>188</v>
      </c>
      <c r="E253" t="s">
        <v>189</v>
      </c>
      <c r="F253" t="s">
        <v>24</v>
      </c>
      <c r="G253" t="s">
        <v>25</v>
      </c>
      <c r="H253" t="s">
        <v>26</v>
      </c>
      <c r="I253" t="s">
        <v>1090</v>
      </c>
      <c r="J253" t="s">
        <v>1091</v>
      </c>
      <c r="K253" t="s">
        <v>1092</v>
      </c>
      <c r="L253" s="6" t="s">
        <v>1804</v>
      </c>
      <c r="M253" t="str">
        <f t="shared" si="3"/>
        <v>RISLA@BBVA.COM,monitoreocgr1.pe@bbva.com</v>
      </c>
    </row>
    <row r="254" spans="1:13" x14ac:dyDescent="0.25">
      <c r="A254" s="1">
        <v>175</v>
      </c>
      <c r="B254" s="1">
        <v>175</v>
      </c>
      <c r="C254" t="s">
        <v>1093</v>
      </c>
      <c r="D254" t="s">
        <v>70</v>
      </c>
      <c r="E254" t="s">
        <v>71</v>
      </c>
      <c r="F254" t="s">
        <v>24</v>
      </c>
      <c r="G254" t="s">
        <v>25</v>
      </c>
      <c r="H254" t="s">
        <v>26</v>
      </c>
      <c r="I254" t="s">
        <v>1094</v>
      </c>
      <c r="J254" t="s">
        <v>1095</v>
      </c>
      <c r="K254" t="s">
        <v>1096</v>
      </c>
      <c r="L254" s="6" t="s">
        <v>1804</v>
      </c>
      <c r="M254" t="str">
        <f t="shared" si="3"/>
        <v>MELISSA.MALDONADOC@BBVA.COM,monitoreocgr1.pe@bbva.com</v>
      </c>
    </row>
    <row r="255" spans="1:13" hidden="1" x14ac:dyDescent="0.25">
      <c r="A255" s="1">
        <v>184</v>
      </c>
      <c r="B255" s="1">
        <v>184</v>
      </c>
      <c r="C255" t="s">
        <v>1097</v>
      </c>
      <c r="D255" t="s">
        <v>122</v>
      </c>
      <c r="E255" t="s">
        <v>123</v>
      </c>
      <c r="F255" t="s">
        <v>24</v>
      </c>
      <c r="G255" t="s">
        <v>25</v>
      </c>
      <c r="H255" t="s">
        <v>26</v>
      </c>
      <c r="I255" t="s">
        <v>1098</v>
      </c>
      <c r="J255" t="s">
        <v>1099</v>
      </c>
      <c r="K255" t="s">
        <v>1100</v>
      </c>
      <c r="L255" s="6" t="s">
        <v>1804</v>
      </c>
      <c r="M255" t="str">
        <f t="shared" si="3"/>
        <v>JGOICOCHEA@BBVA.COM,monitoreocgr1.pe@bbva.com</v>
      </c>
    </row>
    <row r="256" spans="1:13" hidden="1" x14ac:dyDescent="0.25">
      <c r="A256" s="1">
        <v>842</v>
      </c>
      <c r="B256" s="1">
        <v>842</v>
      </c>
      <c r="C256" t="s">
        <v>1101</v>
      </c>
      <c r="D256" t="s">
        <v>188</v>
      </c>
      <c r="E256" t="s">
        <v>189</v>
      </c>
      <c r="F256" t="s">
        <v>24</v>
      </c>
      <c r="G256" t="s">
        <v>25</v>
      </c>
      <c r="H256" t="s">
        <v>26</v>
      </c>
      <c r="I256" t="s">
        <v>1102</v>
      </c>
      <c r="J256" t="s">
        <v>1103</v>
      </c>
      <c r="K256" t="s">
        <v>1104</v>
      </c>
      <c r="L256" s="6" t="s">
        <v>1804</v>
      </c>
      <c r="M256" t="str">
        <f t="shared" si="3"/>
        <v>DLLACSAHUACHE@BBVA.COM,monitoreocgr1.pe@bbva.com</v>
      </c>
    </row>
    <row r="257" spans="1:13" hidden="1" x14ac:dyDescent="0.25">
      <c r="A257" s="1">
        <v>141</v>
      </c>
      <c r="B257" s="1">
        <v>141</v>
      </c>
      <c r="C257" t="s">
        <v>1105</v>
      </c>
      <c r="D257" t="s">
        <v>1106</v>
      </c>
      <c r="E257" t="s">
        <v>26</v>
      </c>
      <c r="F257" t="s">
        <v>24</v>
      </c>
      <c r="G257" t="s">
        <v>25</v>
      </c>
      <c r="H257" t="s">
        <v>26</v>
      </c>
      <c r="I257" t="s">
        <v>1107</v>
      </c>
      <c r="J257" t="s">
        <v>1108</v>
      </c>
      <c r="K257" t="s">
        <v>1109</v>
      </c>
      <c r="L257" s="6" t="s">
        <v>1804</v>
      </c>
      <c r="M257" t="str">
        <f t="shared" si="3"/>
        <v>CAORTIZ@BBVA.COM,monitoreocgr1.pe@bbva.com</v>
      </c>
    </row>
    <row r="258" spans="1:13" hidden="1" x14ac:dyDescent="0.25">
      <c r="A258" s="1">
        <v>252</v>
      </c>
      <c r="B258" s="1">
        <v>252</v>
      </c>
      <c r="C258" t="s">
        <v>1110</v>
      </c>
      <c r="D258" t="s">
        <v>46</v>
      </c>
      <c r="E258" t="s">
        <v>47</v>
      </c>
      <c r="F258" t="s">
        <v>24</v>
      </c>
      <c r="G258" t="s">
        <v>25</v>
      </c>
      <c r="H258" t="s">
        <v>26</v>
      </c>
      <c r="I258" t="s">
        <v>1111</v>
      </c>
      <c r="J258" t="s">
        <v>1112</v>
      </c>
      <c r="K258" t="s">
        <v>1113</v>
      </c>
      <c r="L258" s="6" t="s">
        <v>1804</v>
      </c>
      <c r="M258" t="str">
        <f t="shared" si="3"/>
        <v>JIMMY.SANCHEZ.PRADA@BBVA.COM,monitoreocgr1.pe@bbva.com</v>
      </c>
    </row>
    <row r="259" spans="1:13" hidden="1" x14ac:dyDescent="0.25">
      <c r="A259" s="1">
        <v>426</v>
      </c>
      <c r="B259" s="1">
        <v>426</v>
      </c>
      <c r="C259" t="s">
        <v>1114</v>
      </c>
      <c r="D259" t="s">
        <v>112</v>
      </c>
      <c r="E259" t="s">
        <v>113</v>
      </c>
      <c r="F259" t="s">
        <v>24</v>
      </c>
      <c r="G259" t="s">
        <v>25</v>
      </c>
      <c r="H259" t="s">
        <v>26</v>
      </c>
      <c r="I259" t="s">
        <v>1115</v>
      </c>
      <c r="J259" t="s">
        <v>1116</v>
      </c>
      <c r="K259" t="s">
        <v>1117</v>
      </c>
      <c r="L259" s="6" t="s">
        <v>1804</v>
      </c>
      <c r="M259" t="str">
        <f t="shared" ref="M259:M322" si="4">CONCATENATE(K259,",",L259)</f>
        <v>MMOREANO@BBVA.COM,monitoreocgr1.pe@bbva.com</v>
      </c>
    </row>
    <row r="260" spans="1:13" hidden="1" x14ac:dyDescent="0.25">
      <c r="A260" s="1">
        <v>145</v>
      </c>
      <c r="B260" s="1">
        <v>145</v>
      </c>
      <c r="C260" t="s">
        <v>1118</v>
      </c>
      <c r="D260" t="s">
        <v>178</v>
      </c>
      <c r="E260" t="s">
        <v>179</v>
      </c>
      <c r="F260" t="s">
        <v>24</v>
      </c>
      <c r="G260" t="s">
        <v>25</v>
      </c>
      <c r="H260" t="s">
        <v>26</v>
      </c>
      <c r="I260" t="s">
        <v>1119</v>
      </c>
      <c r="J260" t="s">
        <v>1120</v>
      </c>
      <c r="K260" t="s">
        <v>1121</v>
      </c>
      <c r="L260" s="6" t="s">
        <v>1804</v>
      </c>
      <c r="M260" t="str">
        <f t="shared" si="4"/>
        <v>EARIAS@BBVA.COM,monitoreocgr1.pe@bbva.com</v>
      </c>
    </row>
    <row r="261" spans="1:13" hidden="1" x14ac:dyDescent="0.25">
      <c r="A261" s="1">
        <v>238</v>
      </c>
      <c r="B261" s="1">
        <v>238</v>
      </c>
      <c r="C261" t="s">
        <v>1122</v>
      </c>
      <c r="D261" t="s">
        <v>152</v>
      </c>
      <c r="E261" t="s">
        <v>153</v>
      </c>
      <c r="F261" t="s">
        <v>24</v>
      </c>
      <c r="G261" t="s">
        <v>25</v>
      </c>
      <c r="H261" t="s">
        <v>26</v>
      </c>
      <c r="I261" t="s">
        <v>1123</v>
      </c>
      <c r="J261" t="s">
        <v>1124</v>
      </c>
      <c r="K261" t="s">
        <v>1125</v>
      </c>
      <c r="L261" s="6" t="s">
        <v>1804</v>
      </c>
      <c r="M261" t="str">
        <f t="shared" si="4"/>
        <v>JCANARI@BBVA.COM,monitoreocgr1.pe@bbva.com</v>
      </c>
    </row>
    <row r="262" spans="1:13" hidden="1" x14ac:dyDescent="0.25">
      <c r="A262" s="1">
        <v>137</v>
      </c>
      <c r="B262" s="1">
        <v>137</v>
      </c>
      <c r="C262" t="s">
        <v>1126</v>
      </c>
      <c r="D262" t="s">
        <v>282</v>
      </c>
      <c r="E262" t="s">
        <v>283</v>
      </c>
      <c r="F262" t="s">
        <v>24</v>
      </c>
      <c r="G262" t="s">
        <v>25</v>
      </c>
      <c r="H262" t="s">
        <v>26</v>
      </c>
      <c r="I262" t="s">
        <v>1127</v>
      </c>
      <c r="J262" t="s">
        <v>1128</v>
      </c>
      <c r="K262" t="s">
        <v>1129</v>
      </c>
      <c r="L262" s="6" t="s">
        <v>1804</v>
      </c>
      <c r="M262" t="str">
        <f t="shared" si="4"/>
        <v>DDELAPUENTE@BBVA.COM,monitoreocgr1.pe@bbva.com</v>
      </c>
    </row>
    <row r="263" spans="1:13" hidden="1" x14ac:dyDescent="0.25">
      <c r="A263" s="1">
        <v>341</v>
      </c>
      <c r="B263" s="1">
        <v>341</v>
      </c>
      <c r="C263" t="s">
        <v>1130</v>
      </c>
      <c r="D263" t="s">
        <v>94</v>
      </c>
      <c r="E263" t="s">
        <v>95</v>
      </c>
      <c r="F263" t="s">
        <v>24</v>
      </c>
      <c r="G263" t="s">
        <v>25</v>
      </c>
      <c r="H263" t="s">
        <v>26</v>
      </c>
      <c r="I263" t="s">
        <v>1131</v>
      </c>
      <c r="J263" t="s">
        <v>1132</v>
      </c>
      <c r="K263" t="s">
        <v>1133</v>
      </c>
      <c r="L263" s="6" t="s">
        <v>1804</v>
      </c>
      <c r="M263" t="str">
        <f t="shared" si="4"/>
        <v>MUCEDA@BBVA.COM,monitoreocgr1.pe@bbva.com</v>
      </c>
    </row>
    <row r="264" spans="1:13" hidden="1" x14ac:dyDescent="0.25">
      <c r="A264" s="1">
        <v>266</v>
      </c>
      <c r="B264" s="1">
        <v>266</v>
      </c>
      <c r="C264" t="s">
        <v>1134</v>
      </c>
      <c r="D264" t="s">
        <v>152</v>
      </c>
      <c r="E264" t="s">
        <v>153</v>
      </c>
      <c r="F264" t="s">
        <v>24</v>
      </c>
      <c r="G264" t="s">
        <v>25</v>
      </c>
      <c r="H264" t="s">
        <v>26</v>
      </c>
      <c r="I264" t="s">
        <v>1135</v>
      </c>
      <c r="J264" t="s">
        <v>1136</v>
      </c>
      <c r="K264" t="s">
        <v>1137</v>
      </c>
      <c r="L264" s="6" t="s">
        <v>1804</v>
      </c>
      <c r="M264" t="str">
        <f t="shared" si="4"/>
        <v>MELEON@BBVA.COM,monitoreocgr1.pe@bbva.com</v>
      </c>
    </row>
    <row r="265" spans="1:13" hidden="1" x14ac:dyDescent="0.25">
      <c r="A265" s="1">
        <v>13</v>
      </c>
      <c r="B265" s="1">
        <v>13</v>
      </c>
      <c r="C265" t="s">
        <v>1138</v>
      </c>
      <c r="D265" t="s">
        <v>178</v>
      </c>
      <c r="E265" t="s">
        <v>179</v>
      </c>
      <c r="F265" t="s">
        <v>24</v>
      </c>
      <c r="G265" t="s">
        <v>25</v>
      </c>
      <c r="H265" t="s">
        <v>26</v>
      </c>
      <c r="I265" t="s">
        <v>1139</v>
      </c>
      <c r="J265" t="s">
        <v>1140</v>
      </c>
      <c r="K265" t="s">
        <v>1141</v>
      </c>
      <c r="L265" s="6" t="s">
        <v>1804</v>
      </c>
      <c r="M265" t="str">
        <f t="shared" si="4"/>
        <v>MALEMAN@BBVA.COM,monitoreocgr1.pe@bbva.com</v>
      </c>
    </row>
    <row r="266" spans="1:13" hidden="1" x14ac:dyDescent="0.25">
      <c r="A266" s="1">
        <v>102</v>
      </c>
      <c r="B266" s="1">
        <v>102</v>
      </c>
      <c r="C266" t="s">
        <v>1142</v>
      </c>
      <c r="D266" t="s">
        <v>46</v>
      </c>
      <c r="E266" t="s">
        <v>47</v>
      </c>
      <c r="F266" t="s">
        <v>24</v>
      </c>
      <c r="G266" t="s">
        <v>25</v>
      </c>
      <c r="H266" t="s">
        <v>26</v>
      </c>
      <c r="I266" t="s">
        <v>1143</v>
      </c>
      <c r="J266" t="s">
        <v>1144</v>
      </c>
      <c r="K266" t="s">
        <v>1145</v>
      </c>
      <c r="L266" s="6" t="s">
        <v>1804</v>
      </c>
      <c r="M266" t="str">
        <f t="shared" si="4"/>
        <v>GDESOTO@BBVA.COM,monitoreocgr1.pe@bbva.com</v>
      </c>
    </row>
    <row r="267" spans="1:13" hidden="1" x14ac:dyDescent="0.25">
      <c r="A267" s="1">
        <v>174</v>
      </c>
      <c r="B267" s="1">
        <v>174</v>
      </c>
      <c r="C267" t="s">
        <v>1146</v>
      </c>
      <c r="D267" t="s">
        <v>188</v>
      </c>
      <c r="E267" t="s">
        <v>189</v>
      </c>
      <c r="F267" t="s">
        <v>24</v>
      </c>
      <c r="G267" t="s">
        <v>25</v>
      </c>
      <c r="H267" t="s">
        <v>26</v>
      </c>
      <c r="I267" t="s">
        <v>1147</v>
      </c>
      <c r="J267" t="s">
        <v>1148</v>
      </c>
      <c r="K267" t="s">
        <v>1149</v>
      </c>
      <c r="L267" s="6" t="s">
        <v>1804</v>
      </c>
      <c r="M267" t="str">
        <f t="shared" si="4"/>
        <v>MVALDERRAMA@BBVA.COM,monitoreocgr1.pe@bbva.com</v>
      </c>
    </row>
    <row r="268" spans="1:13" hidden="1" x14ac:dyDescent="0.25">
      <c r="A268" s="1">
        <v>284</v>
      </c>
      <c r="B268" s="1">
        <v>284</v>
      </c>
      <c r="C268" t="s">
        <v>1150</v>
      </c>
      <c r="D268" t="s">
        <v>188</v>
      </c>
      <c r="E268" t="s">
        <v>189</v>
      </c>
      <c r="F268" t="s">
        <v>24</v>
      </c>
      <c r="G268" t="s">
        <v>25</v>
      </c>
      <c r="H268" t="s">
        <v>26</v>
      </c>
      <c r="I268" t="s">
        <v>1151</v>
      </c>
      <c r="J268" t="s">
        <v>1152</v>
      </c>
      <c r="K268" t="s">
        <v>1153</v>
      </c>
      <c r="L268" s="6" t="s">
        <v>1804</v>
      </c>
      <c r="M268" t="str">
        <f t="shared" si="4"/>
        <v>JCDELGADO@BBVA.COM,monitoreocgr1.pe@bbva.com</v>
      </c>
    </row>
    <row r="269" spans="1:13" x14ac:dyDescent="0.25">
      <c r="A269" s="1">
        <v>112</v>
      </c>
      <c r="B269" s="1">
        <v>112</v>
      </c>
      <c r="C269" t="s">
        <v>1154</v>
      </c>
      <c r="D269" t="s">
        <v>70</v>
      </c>
      <c r="E269" t="s">
        <v>71</v>
      </c>
      <c r="F269" t="s">
        <v>24</v>
      </c>
      <c r="G269" t="s">
        <v>25</v>
      </c>
      <c r="H269" t="s">
        <v>26</v>
      </c>
      <c r="I269" t="s">
        <v>1155</v>
      </c>
      <c r="J269" t="s">
        <v>1156</v>
      </c>
      <c r="K269" t="s">
        <v>1157</v>
      </c>
      <c r="L269" s="6" t="s">
        <v>1804</v>
      </c>
      <c r="M269" t="str">
        <f t="shared" si="4"/>
        <v>FBERNAOLA@BBVA.COM,monitoreocgr1.pe@bbva.com</v>
      </c>
    </row>
    <row r="270" spans="1:13" hidden="1" x14ac:dyDescent="0.25">
      <c r="A270" s="1">
        <v>185</v>
      </c>
      <c r="B270" s="1">
        <v>185</v>
      </c>
      <c r="C270" t="s">
        <v>1158</v>
      </c>
      <c r="D270" t="s">
        <v>112</v>
      </c>
      <c r="E270" t="s">
        <v>113</v>
      </c>
      <c r="F270" t="s">
        <v>24</v>
      </c>
      <c r="G270" t="s">
        <v>25</v>
      </c>
      <c r="H270" t="s">
        <v>26</v>
      </c>
      <c r="I270" t="s">
        <v>1159</v>
      </c>
      <c r="J270" t="s">
        <v>1160</v>
      </c>
      <c r="K270" t="s">
        <v>1161</v>
      </c>
      <c r="L270" s="6" t="s">
        <v>1804</v>
      </c>
      <c r="M270" t="str">
        <f t="shared" si="4"/>
        <v>GVILCHEZ@BBVA.COM,monitoreocgr1.pe@bbva.com</v>
      </c>
    </row>
    <row r="271" spans="1:13" hidden="1" x14ac:dyDescent="0.25">
      <c r="A271" s="1">
        <v>202</v>
      </c>
      <c r="B271" s="1">
        <v>202</v>
      </c>
      <c r="C271" t="s">
        <v>1162</v>
      </c>
      <c r="D271" t="s">
        <v>152</v>
      </c>
      <c r="E271" t="s">
        <v>153</v>
      </c>
      <c r="F271" t="s">
        <v>24</v>
      </c>
      <c r="G271" t="s">
        <v>25</v>
      </c>
      <c r="H271" t="s">
        <v>26</v>
      </c>
      <c r="I271" t="s">
        <v>1163</v>
      </c>
      <c r="J271" t="s">
        <v>1164</v>
      </c>
      <c r="K271" t="s">
        <v>1165</v>
      </c>
      <c r="L271" s="6" t="s">
        <v>1804</v>
      </c>
      <c r="M271" t="str">
        <f t="shared" si="4"/>
        <v>OPAITAN@BBVA.COM,monitoreocgr1.pe@bbva.com</v>
      </c>
    </row>
    <row r="272" spans="1:13" x14ac:dyDescent="0.25">
      <c r="A272" s="1">
        <v>128</v>
      </c>
      <c r="B272" s="1">
        <v>128</v>
      </c>
      <c r="C272" t="s">
        <v>1166</v>
      </c>
      <c r="D272" t="s">
        <v>70</v>
      </c>
      <c r="E272" t="s">
        <v>71</v>
      </c>
      <c r="F272" t="s">
        <v>24</v>
      </c>
      <c r="G272" t="s">
        <v>25</v>
      </c>
      <c r="H272" t="s">
        <v>26</v>
      </c>
      <c r="I272" t="s">
        <v>1167</v>
      </c>
      <c r="J272" t="s">
        <v>1168</v>
      </c>
      <c r="K272" t="s">
        <v>1169</v>
      </c>
      <c r="L272" s="6" t="s">
        <v>1804</v>
      </c>
      <c r="M272" t="str">
        <f t="shared" si="4"/>
        <v>JVASQUEZA@BBVA.COM,monitoreocgr1.pe@bbva.com</v>
      </c>
    </row>
    <row r="273" spans="1:13" hidden="1" x14ac:dyDescent="0.25">
      <c r="A273" s="1">
        <v>271</v>
      </c>
      <c r="B273" s="1">
        <v>271</v>
      </c>
      <c r="C273" t="s">
        <v>1170</v>
      </c>
      <c r="D273" t="s">
        <v>22</v>
      </c>
      <c r="E273" t="s">
        <v>345</v>
      </c>
      <c r="F273" t="s">
        <v>24</v>
      </c>
      <c r="G273" t="s">
        <v>25</v>
      </c>
      <c r="H273" t="s">
        <v>26</v>
      </c>
      <c r="I273" t="s">
        <v>1171</v>
      </c>
      <c r="J273" t="s">
        <v>1172</v>
      </c>
      <c r="K273" t="s">
        <v>1173</v>
      </c>
      <c r="L273" s="6" t="s">
        <v>1804</v>
      </c>
      <c r="M273" t="str">
        <f t="shared" si="4"/>
        <v>RCALVO@BBVA.COM,monitoreocgr1.pe@bbva.com</v>
      </c>
    </row>
    <row r="274" spans="1:13" hidden="1" x14ac:dyDescent="0.25">
      <c r="A274" s="1">
        <v>229</v>
      </c>
      <c r="B274" s="1">
        <v>229</v>
      </c>
      <c r="C274" t="s">
        <v>1174</v>
      </c>
      <c r="D274" t="s">
        <v>40</v>
      </c>
      <c r="E274" t="s">
        <v>41</v>
      </c>
      <c r="F274" t="s">
        <v>24</v>
      </c>
      <c r="G274" t="s">
        <v>25</v>
      </c>
      <c r="H274" t="s">
        <v>26</v>
      </c>
      <c r="I274" t="s">
        <v>1175</v>
      </c>
      <c r="J274" t="s">
        <v>1176</v>
      </c>
      <c r="K274" t="s">
        <v>1177</v>
      </c>
      <c r="L274" s="6" t="s">
        <v>1804</v>
      </c>
      <c r="M274" t="str">
        <f t="shared" si="4"/>
        <v>DQUEQUESANA@BBVA.COM,monitoreocgr1.pe@bbva.com</v>
      </c>
    </row>
    <row r="275" spans="1:13" hidden="1" x14ac:dyDescent="0.25">
      <c r="A275" s="1">
        <v>584</v>
      </c>
      <c r="B275" s="1">
        <v>584</v>
      </c>
      <c r="C275" t="s">
        <v>1178</v>
      </c>
      <c r="D275" t="s">
        <v>40</v>
      </c>
      <c r="E275" t="s">
        <v>41</v>
      </c>
      <c r="F275" t="s">
        <v>24</v>
      </c>
      <c r="G275" t="s">
        <v>25</v>
      </c>
      <c r="H275" t="s">
        <v>26</v>
      </c>
      <c r="I275" t="s">
        <v>1179</v>
      </c>
      <c r="J275" t="s">
        <v>1180</v>
      </c>
      <c r="K275" t="s">
        <v>1181</v>
      </c>
      <c r="L275" s="6" t="s">
        <v>1804</v>
      </c>
      <c r="M275" t="str">
        <f t="shared" si="4"/>
        <v>RBEJARANO@BBVA.COM,monitoreocgr1.pe@bbva.com</v>
      </c>
    </row>
    <row r="276" spans="1:13" hidden="1" x14ac:dyDescent="0.25">
      <c r="A276" s="1">
        <v>518</v>
      </c>
      <c r="B276" s="1">
        <v>518</v>
      </c>
      <c r="C276" t="s">
        <v>1182</v>
      </c>
      <c r="D276" t="s">
        <v>178</v>
      </c>
      <c r="E276" t="s">
        <v>179</v>
      </c>
      <c r="F276" t="s">
        <v>24</v>
      </c>
      <c r="G276" t="s">
        <v>25</v>
      </c>
      <c r="H276" t="s">
        <v>26</v>
      </c>
      <c r="I276" t="s">
        <v>1183</v>
      </c>
      <c r="J276" t="s">
        <v>1184</v>
      </c>
      <c r="K276" t="s">
        <v>1185</v>
      </c>
      <c r="L276" s="6" t="s">
        <v>1804</v>
      </c>
      <c r="M276" t="str">
        <f t="shared" si="4"/>
        <v>BJIMENEZ@BBVA.COM,monitoreocgr1.pe@bbva.com</v>
      </c>
    </row>
    <row r="277" spans="1:13" hidden="1" x14ac:dyDescent="0.25">
      <c r="A277" s="1">
        <v>236</v>
      </c>
      <c r="B277" s="1">
        <v>236</v>
      </c>
      <c r="C277" t="s">
        <v>1186</v>
      </c>
      <c r="D277" t="s">
        <v>152</v>
      </c>
      <c r="E277" t="s">
        <v>153</v>
      </c>
      <c r="F277" t="s">
        <v>24</v>
      </c>
      <c r="G277" t="s">
        <v>25</v>
      </c>
      <c r="H277" t="s">
        <v>26</v>
      </c>
      <c r="I277" t="s">
        <v>1187</v>
      </c>
      <c r="J277" t="s">
        <v>1188</v>
      </c>
      <c r="K277" t="s">
        <v>1189</v>
      </c>
      <c r="L277" s="6" t="s">
        <v>1804</v>
      </c>
      <c r="M277" t="str">
        <f t="shared" si="4"/>
        <v>LCONDOR@BBVA.COM,monitoreocgr1.pe@bbva.com</v>
      </c>
    </row>
    <row r="278" spans="1:13" hidden="1" x14ac:dyDescent="0.25">
      <c r="A278" s="1">
        <v>261</v>
      </c>
      <c r="B278" s="1">
        <v>261</v>
      </c>
      <c r="C278" t="s">
        <v>1190</v>
      </c>
      <c r="D278" t="s">
        <v>282</v>
      </c>
      <c r="E278" t="s">
        <v>283</v>
      </c>
      <c r="F278" t="s">
        <v>24</v>
      </c>
      <c r="G278" t="s">
        <v>25</v>
      </c>
      <c r="H278" t="s">
        <v>26</v>
      </c>
      <c r="I278" t="s">
        <v>1191</v>
      </c>
      <c r="J278" t="s">
        <v>1192</v>
      </c>
      <c r="K278" t="s">
        <v>1193</v>
      </c>
      <c r="L278" s="6" t="s">
        <v>1804</v>
      </c>
      <c r="M278" t="str">
        <f t="shared" si="4"/>
        <v>SCHAVEZ@BBVA.COM,monitoreocgr1.pe@bbva.com</v>
      </c>
    </row>
    <row r="279" spans="1:13" hidden="1" x14ac:dyDescent="0.25">
      <c r="A279" s="1">
        <v>763</v>
      </c>
      <c r="B279" s="1">
        <v>763</v>
      </c>
      <c r="C279" t="s">
        <v>1194</v>
      </c>
      <c r="D279" t="s">
        <v>40</v>
      </c>
      <c r="E279" t="s">
        <v>41</v>
      </c>
      <c r="F279" t="s">
        <v>24</v>
      </c>
      <c r="G279" t="s">
        <v>25</v>
      </c>
      <c r="H279" t="s">
        <v>26</v>
      </c>
      <c r="I279" t="s">
        <v>1195</v>
      </c>
      <c r="J279" t="s">
        <v>1196</v>
      </c>
      <c r="K279" t="s">
        <v>1197</v>
      </c>
      <c r="L279" s="6" t="s">
        <v>1804</v>
      </c>
      <c r="M279" t="str">
        <f t="shared" si="4"/>
        <v>JCARNERO@BBVA.COM,monitoreocgr1.pe@bbva.com</v>
      </c>
    </row>
    <row r="280" spans="1:13" hidden="1" x14ac:dyDescent="0.25">
      <c r="A280" s="1">
        <v>857</v>
      </c>
      <c r="B280" s="1">
        <v>857</v>
      </c>
      <c r="C280" t="s">
        <v>1198</v>
      </c>
      <c r="D280" t="s">
        <v>282</v>
      </c>
      <c r="E280" t="s">
        <v>283</v>
      </c>
      <c r="F280" t="s">
        <v>24</v>
      </c>
      <c r="G280" t="s">
        <v>25</v>
      </c>
      <c r="H280" t="s">
        <v>26</v>
      </c>
      <c r="I280" t="s">
        <v>1199</v>
      </c>
      <c r="J280" t="s">
        <v>1200</v>
      </c>
      <c r="K280" t="s">
        <v>1201</v>
      </c>
      <c r="L280" s="6" t="s">
        <v>1804</v>
      </c>
      <c r="M280" t="str">
        <f t="shared" si="4"/>
        <v>ICHOQUEHUANCA@BBVA.COM,monitoreocgr1.pe@bbva.com</v>
      </c>
    </row>
    <row r="281" spans="1:13" hidden="1" x14ac:dyDescent="0.25">
      <c r="A281" s="1">
        <v>108</v>
      </c>
      <c r="B281" s="1">
        <v>108</v>
      </c>
      <c r="C281" t="s">
        <v>1202</v>
      </c>
      <c r="D281" t="s">
        <v>122</v>
      </c>
      <c r="E281" t="s">
        <v>123</v>
      </c>
      <c r="F281" t="s">
        <v>24</v>
      </c>
      <c r="G281" t="s">
        <v>25</v>
      </c>
      <c r="H281" t="s">
        <v>26</v>
      </c>
      <c r="I281" t="s">
        <v>1203</v>
      </c>
      <c r="J281" t="s">
        <v>1204</v>
      </c>
      <c r="K281" t="s">
        <v>1205</v>
      </c>
      <c r="L281" s="6" t="s">
        <v>1804</v>
      </c>
      <c r="M281" t="str">
        <f t="shared" si="4"/>
        <v>MIGUEL.CALVOZ@BBVA.COM,monitoreocgr1.pe@bbva.com</v>
      </c>
    </row>
    <row r="282" spans="1:13" hidden="1" x14ac:dyDescent="0.25">
      <c r="A282" s="1">
        <v>121</v>
      </c>
      <c r="B282" s="1">
        <v>121</v>
      </c>
      <c r="C282" t="s">
        <v>1206</v>
      </c>
      <c r="D282" t="s">
        <v>282</v>
      </c>
      <c r="E282" t="s">
        <v>283</v>
      </c>
      <c r="F282" t="s">
        <v>24</v>
      </c>
      <c r="G282" t="s">
        <v>25</v>
      </c>
      <c r="H282" t="s">
        <v>26</v>
      </c>
      <c r="I282" t="s">
        <v>1207</v>
      </c>
      <c r="J282" t="s">
        <v>1208</v>
      </c>
      <c r="K282" t="s">
        <v>1209</v>
      </c>
      <c r="L282" s="6" t="s">
        <v>1804</v>
      </c>
      <c r="M282" t="str">
        <f t="shared" si="4"/>
        <v>CVALDIVIEZO@BBVA.COM,monitoreocgr1.pe@bbva.com</v>
      </c>
    </row>
    <row r="283" spans="1:13" hidden="1" x14ac:dyDescent="0.25">
      <c r="A283" s="1">
        <v>713</v>
      </c>
      <c r="B283" s="1">
        <v>713</v>
      </c>
      <c r="C283" t="s">
        <v>1210</v>
      </c>
      <c r="D283" t="s">
        <v>178</v>
      </c>
      <c r="E283" t="s">
        <v>179</v>
      </c>
      <c r="F283" t="s">
        <v>24</v>
      </c>
      <c r="G283" t="s">
        <v>25</v>
      </c>
      <c r="H283" t="s">
        <v>26</v>
      </c>
      <c r="I283" t="s">
        <v>1211</v>
      </c>
      <c r="J283" t="s">
        <v>1212</v>
      </c>
      <c r="K283" t="s">
        <v>1213</v>
      </c>
      <c r="L283" s="6" t="s">
        <v>1804</v>
      </c>
      <c r="M283" t="str">
        <f t="shared" si="4"/>
        <v>ASEGIL@BBVA.COM,monitoreocgr1.pe@bbva.com</v>
      </c>
    </row>
    <row r="284" spans="1:13" hidden="1" x14ac:dyDescent="0.25">
      <c r="A284" s="1">
        <v>796</v>
      </c>
      <c r="B284" s="1">
        <v>796</v>
      </c>
      <c r="C284" t="s">
        <v>1214</v>
      </c>
      <c r="D284" t="s">
        <v>22</v>
      </c>
      <c r="E284" t="s">
        <v>345</v>
      </c>
      <c r="F284" t="s">
        <v>24</v>
      </c>
      <c r="G284" t="s">
        <v>25</v>
      </c>
      <c r="H284" t="s">
        <v>26</v>
      </c>
      <c r="I284" t="s">
        <v>1215</v>
      </c>
      <c r="J284" t="s">
        <v>1216</v>
      </c>
      <c r="K284" t="s">
        <v>1217</v>
      </c>
      <c r="L284" s="6" t="s">
        <v>1804</v>
      </c>
      <c r="M284" t="str">
        <f t="shared" si="4"/>
        <v>SDELCASTILLO@BBVA.COM,monitoreocgr1.pe@bbva.com</v>
      </c>
    </row>
    <row r="285" spans="1:13" hidden="1" x14ac:dyDescent="0.25">
      <c r="A285" s="1">
        <v>304</v>
      </c>
      <c r="B285" s="1">
        <v>304</v>
      </c>
      <c r="C285" t="s">
        <v>1218</v>
      </c>
      <c r="D285" t="s">
        <v>254</v>
      </c>
      <c r="E285" t="s">
        <v>312</v>
      </c>
      <c r="F285" t="s">
        <v>24</v>
      </c>
      <c r="G285" t="s">
        <v>25</v>
      </c>
      <c r="H285" t="s">
        <v>26</v>
      </c>
      <c r="I285" t="s">
        <v>1219</v>
      </c>
      <c r="J285" t="s">
        <v>1220</v>
      </c>
      <c r="K285" t="s">
        <v>1221</v>
      </c>
      <c r="L285" s="6" t="s">
        <v>1804</v>
      </c>
      <c r="M285" t="str">
        <f t="shared" si="4"/>
        <v>IROJASO@BBVA.COM,monitoreocgr1.pe@bbva.com</v>
      </c>
    </row>
    <row r="286" spans="1:13" hidden="1" x14ac:dyDescent="0.25">
      <c r="A286" s="1">
        <v>94</v>
      </c>
      <c r="B286" s="1">
        <v>94</v>
      </c>
      <c r="C286" t="s">
        <v>1222</v>
      </c>
      <c r="D286" t="s">
        <v>122</v>
      </c>
      <c r="E286" t="s">
        <v>123</v>
      </c>
      <c r="F286" t="s">
        <v>24</v>
      </c>
      <c r="G286" t="s">
        <v>25</v>
      </c>
      <c r="H286" t="s">
        <v>26</v>
      </c>
      <c r="I286" t="s">
        <v>1223</v>
      </c>
      <c r="J286" t="s">
        <v>1224</v>
      </c>
      <c r="K286" t="s">
        <v>1225</v>
      </c>
      <c r="L286" s="6" t="s">
        <v>1804</v>
      </c>
      <c r="M286" t="str">
        <f t="shared" si="4"/>
        <v>SPOSTIGO@BBVA.COM,monitoreocgr1.pe@bbva.com</v>
      </c>
    </row>
    <row r="287" spans="1:13" hidden="1" x14ac:dyDescent="0.25">
      <c r="A287" s="1">
        <v>982</v>
      </c>
      <c r="B287" s="1">
        <v>982</v>
      </c>
      <c r="C287" t="s">
        <v>1226</v>
      </c>
      <c r="D287" t="s">
        <v>254</v>
      </c>
      <c r="E287" t="s">
        <v>312</v>
      </c>
      <c r="F287" t="s">
        <v>24</v>
      </c>
      <c r="G287" t="s">
        <v>25</v>
      </c>
      <c r="H287" t="s">
        <v>26</v>
      </c>
      <c r="I287" t="s">
        <v>1227</v>
      </c>
      <c r="J287" t="s">
        <v>1228</v>
      </c>
      <c r="K287" t="s">
        <v>1229</v>
      </c>
      <c r="L287" s="6" t="s">
        <v>1804</v>
      </c>
      <c r="M287" t="str">
        <f t="shared" si="4"/>
        <v>CELESCANO@BBVA.COM,monitoreocgr1.pe@bbva.com</v>
      </c>
    </row>
    <row r="288" spans="1:13" hidden="1" x14ac:dyDescent="0.25">
      <c r="A288" s="1">
        <v>201</v>
      </c>
      <c r="B288" s="1">
        <v>201</v>
      </c>
      <c r="C288" t="s">
        <v>1230</v>
      </c>
      <c r="D288" t="s">
        <v>40</v>
      </c>
      <c r="E288" t="s">
        <v>41</v>
      </c>
      <c r="F288" t="s">
        <v>24</v>
      </c>
      <c r="G288" t="s">
        <v>25</v>
      </c>
      <c r="H288" t="s">
        <v>26</v>
      </c>
      <c r="I288" t="s">
        <v>1231</v>
      </c>
      <c r="J288" t="s">
        <v>1232</v>
      </c>
      <c r="K288" t="s">
        <v>1233</v>
      </c>
      <c r="L288" s="6" t="s">
        <v>1804</v>
      </c>
      <c r="M288" t="str">
        <f t="shared" si="4"/>
        <v>AGUTIERREZ@BBVA.COM,monitoreocgr1.pe@bbva.com</v>
      </c>
    </row>
    <row r="289" spans="1:13" hidden="1" x14ac:dyDescent="0.25">
      <c r="A289" s="1">
        <v>345</v>
      </c>
      <c r="B289" s="1">
        <v>345</v>
      </c>
      <c r="C289" t="s">
        <v>1234</v>
      </c>
      <c r="D289" t="s">
        <v>152</v>
      </c>
      <c r="E289" t="s">
        <v>153</v>
      </c>
      <c r="F289" t="s">
        <v>24</v>
      </c>
      <c r="G289" t="s">
        <v>25</v>
      </c>
      <c r="H289" t="s">
        <v>26</v>
      </c>
      <c r="I289" t="s">
        <v>1235</v>
      </c>
      <c r="J289" t="s">
        <v>1236</v>
      </c>
      <c r="K289" t="s">
        <v>1237</v>
      </c>
      <c r="L289" s="6" t="s">
        <v>1804</v>
      </c>
      <c r="M289" t="str">
        <f t="shared" si="4"/>
        <v>EMEZAV@BBVA.COM,monitoreocgr1.pe@bbva.com</v>
      </c>
    </row>
    <row r="290" spans="1:13" hidden="1" x14ac:dyDescent="0.25">
      <c r="A290" s="1">
        <v>338</v>
      </c>
      <c r="B290" s="1">
        <v>338</v>
      </c>
      <c r="C290" t="s">
        <v>1238</v>
      </c>
      <c r="D290" t="s">
        <v>282</v>
      </c>
      <c r="E290" t="s">
        <v>283</v>
      </c>
      <c r="F290" t="s">
        <v>24</v>
      </c>
      <c r="G290" t="s">
        <v>25</v>
      </c>
      <c r="H290" t="s">
        <v>26</v>
      </c>
      <c r="I290" t="s">
        <v>1239</v>
      </c>
      <c r="J290" t="s">
        <v>1240</v>
      </c>
      <c r="K290" t="s">
        <v>1241</v>
      </c>
      <c r="L290" s="6" t="s">
        <v>1804</v>
      </c>
      <c r="M290" t="str">
        <f t="shared" si="4"/>
        <v>KVRODRIGUEZ@BBVA.COM,monitoreocgr1.pe@bbva.com</v>
      </c>
    </row>
    <row r="291" spans="1:13" hidden="1" x14ac:dyDescent="0.25">
      <c r="A291" s="1">
        <v>143</v>
      </c>
      <c r="B291" s="1">
        <v>143</v>
      </c>
      <c r="C291" t="s">
        <v>1242</v>
      </c>
      <c r="D291" t="s">
        <v>188</v>
      </c>
      <c r="E291" t="s">
        <v>189</v>
      </c>
      <c r="F291" t="s">
        <v>24</v>
      </c>
      <c r="G291" t="s">
        <v>25</v>
      </c>
      <c r="H291" t="s">
        <v>26</v>
      </c>
      <c r="I291" t="s">
        <v>1243</v>
      </c>
      <c r="J291" t="s">
        <v>1244</v>
      </c>
      <c r="K291" t="s">
        <v>1245</v>
      </c>
      <c r="L291" s="6" t="s">
        <v>1804</v>
      </c>
      <c r="M291" t="str">
        <f t="shared" si="4"/>
        <v>ABRAHAM.LOPEZS@BBVA.COM,monitoreocgr1.pe@bbva.com</v>
      </c>
    </row>
    <row r="292" spans="1:13" hidden="1" x14ac:dyDescent="0.25">
      <c r="A292" s="1">
        <v>508</v>
      </c>
      <c r="B292" s="1">
        <v>508</v>
      </c>
      <c r="C292" t="s">
        <v>1246</v>
      </c>
      <c r="D292" t="s">
        <v>112</v>
      </c>
      <c r="E292" t="s">
        <v>113</v>
      </c>
      <c r="F292" t="s">
        <v>24</v>
      </c>
      <c r="G292" t="s">
        <v>25</v>
      </c>
      <c r="H292" t="s">
        <v>26</v>
      </c>
      <c r="I292" t="s">
        <v>1247</v>
      </c>
      <c r="J292" t="s">
        <v>1248</v>
      </c>
      <c r="K292" t="s">
        <v>1249</v>
      </c>
      <c r="L292" s="6" t="s">
        <v>1804</v>
      </c>
      <c r="M292" t="str">
        <f t="shared" si="4"/>
        <v>MYEPES@BBVA.COM,monitoreocgr1.pe@bbva.com</v>
      </c>
    </row>
    <row r="293" spans="1:13" hidden="1" x14ac:dyDescent="0.25">
      <c r="A293" s="1">
        <v>248</v>
      </c>
      <c r="B293" s="1">
        <v>248</v>
      </c>
      <c r="C293" t="s">
        <v>1250</v>
      </c>
      <c r="D293" t="s">
        <v>254</v>
      </c>
      <c r="E293" t="s">
        <v>312</v>
      </c>
      <c r="F293" t="s">
        <v>24</v>
      </c>
      <c r="G293" t="s">
        <v>25</v>
      </c>
      <c r="H293" t="s">
        <v>26</v>
      </c>
      <c r="I293" t="s">
        <v>1251</v>
      </c>
      <c r="J293" t="s">
        <v>1252</v>
      </c>
      <c r="K293" t="s">
        <v>1253</v>
      </c>
      <c r="L293" s="6" t="s">
        <v>1804</v>
      </c>
      <c r="M293" t="str">
        <f t="shared" si="4"/>
        <v>RTANTALEAN@BBVA.COM,monitoreocgr1.pe@bbva.com</v>
      </c>
    </row>
    <row r="294" spans="1:13" hidden="1" x14ac:dyDescent="0.25">
      <c r="A294" s="1">
        <v>999</v>
      </c>
      <c r="B294" s="1">
        <v>999</v>
      </c>
      <c r="C294" t="s">
        <v>1254</v>
      </c>
      <c r="D294" t="s">
        <v>178</v>
      </c>
      <c r="E294" t="s">
        <v>179</v>
      </c>
      <c r="F294" t="s">
        <v>24</v>
      </c>
      <c r="G294" t="s">
        <v>25</v>
      </c>
      <c r="H294" t="s">
        <v>26</v>
      </c>
      <c r="I294" t="s">
        <v>1255</v>
      </c>
      <c r="J294" t="s">
        <v>1256</v>
      </c>
      <c r="K294" t="s">
        <v>1257</v>
      </c>
      <c r="L294" s="6" t="s">
        <v>1804</v>
      </c>
      <c r="M294" t="str">
        <f t="shared" si="4"/>
        <v>MYACTAYO@BBVA.COM,monitoreocgr1.pe@bbva.com</v>
      </c>
    </row>
    <row r="295" spans="1:13" hidden="1" x14ac:dyDescent="0.25">
      <c r="A295" s="1">
        <v>132</v>
      </c>
      <c r="B295" s="1">
        <v>132</v>
      </c>
      <c r="C295" t="s">
        <v>1258</v>
      </c>
      <c r="D295" t="s">
        <v>122</v>
      </c>
      <c r="E295" t="s">
        <v>123</v>
      </c>
      <c r="F295" t="s">
        <v>24</v>
      </c>
      <c r="G295" t="s">
        <v>25</v>
      </c>
      <c r="H295" t="s">
        <v>26</v>
      </c>
      <c r="I295" t="s">
        <v>1259</v>
      </c>
      <c r="J295" t="s">
        <v>1260</v>
      </c>
      <c r="K295" t="s">
        <v>1261</v>
      </c>
      <c r="L295" s="6" t="s">
        <v>1804</v>
      </c>
      <c r="M295" t="str">
        <f t="shared" si="4"/>
        <v>BCASUSOL@BBVA.COM,monitoreocgr1.pe@bbva.com</v>
      </c>
    </row>
    <row r="296" spans="1:13" hidden="1" x14ac:dyDescent="0.25">
      <c r="A296" s="1">
        <v>712</v>
      </c>
      <c r="B296" s="1">
        <v>712</v>
      </c>
      <c r="C296" t="s">
        <v>1262</v>
      </c>
      <c r="D296" t="s">
        <v>152</v>
      </c>
      <c r="E296" t="s">
        <v>153</v>
      </c>
      <c r="F296" t="s">
        <v>24</v>
      </c>
      <c r="G296" t="s">
        <v>25</v>
      </c>
      <c r="H296" t="s">
        <v>26</v>
      </c>
      <c r="I296" t="s">
        <v>1263</v>
      </c>
      <c r="J296" t="s">
        <v>1264</v>
      </c>
      <c r="K296" t="s">
        <v>1265</v>
      </c>
      <c r="L296" s="6" t="s">
        <v>1804</v>
      </c>
      <c r="M296" t="str">
        <f t="shared" si="4"/>
        <v>MTARAZONA@BBVA.COM,monitoreocgr1.pe@bbva.com</v>
      </c>
    </row>
    <row r="297" spans="1:13" hidden="1" x14ac:dyDescent="0.25">
      <c r="A297" s="1">
        <v>214</v>
      </c>
      <c r="B297" s="1">
        <v>214</v>
      </c>
      <c r="C297" t="s">
        <v>1266</v>
      </c>
      <c r="D297" t="s">
        <v>46</v>
      </c>
      <c r="E297" t="s">
        <v>47</v>
      </c>
      <c r="F297" t="s">
        <v>24</v>
      </c>
      <c r="G297" t="s">
        <v>25</v>
      </c>
      <c r="H297" t="s">
        <v>26</v>
      </c>
      <c r="I297" t="s">
        <v>1267</v>
      </c>
      <c r="J297" t="s">
        <v>1268</v>
      </c>
      <c r="K297" t="s">
        <v>1269</v>
      </c>
      <c r="L297" s="6" t="s">
        <v>1804</v>
      </c>
      <c r="M297" t="str">
        <f t="shared" si="4"/>
        <v>PVALENCIA@BBVA.COM,monitoreocgr1.pe@bbva.com</v>
      </c>
    </row>
    <row r="298" spans="1:13" x14ac:dyDescent="0.25">
      <c r="A298" s="1">
        <v>139</v>
      </c>
      <c r="B298" s="1">
        <v>139</v>
      </c>
      <c r="C298" t="s">
        <v>1270</v>
      </c>
      <c r="D298" t="s">
        <v>70</v>
      </c>
      <c r="E298" t="s">
        <v>71</v>
      </c>
      <c r="F298" t="s">
        <v>24</v>
      </c>
      <c r="G298" t="s">
        <v>25</v>
      </c>
      <c r="H298" t="s">
        <v>26</v>
      </c>
      <c r="I298" t="s">
        <v>1271</v>
      </c>
      <c r="J298" t="s">
        <v>1272</v>
      </c>
      <c r="K298" t="s">
        <v>1273</v>
      </c>
      <c r="L298" s="6" t="s">
        <v>1804</v>
      </c>
      <c r="M298" t="str">
        <f t="shared" si="4"/>
        <v>MCHAMBI@BBVA.COM,monitoreocgr1.pe@bbva.com</v>
      </c>
    </row>
    <row r="299" spans="1:13" hidden="1" x14ac:dyDescent="0.25">
      <c r="A299" s="1">
        <v>205</v>
      </c>
      <c r="B299" s="1">
        <v>205</v>
      </c>
      <c r="C299" t="s">
        <v>1274</v>
      </c>
      <c r="D299" t="s">
        <v>40</v>
      </c>
      <c r="E299" t="s">
        <v>41</v>
      </c>
      <c r="F299" t="s">
        <v>24</v>
      </c>
      <c r="G299" t="s">
        <v>25</v>
      </c>
      <c r="H299" t="s">
        <v>26</v>
      </c>
      <c r="I299" t="s">
        <v>1275</v>
      </c>
      <c r="J299" t="s">
        <v>1276</v>
      </c>
      <c r="K299" t="s">
        <v>1277</v>
      </c>
      <c r="L299" s="6" t="s">
        <v>1804</v>
      </c>
      <c r="M299" t="str">
        <f t="shared" si="4"/>
        <v>JBOBADILLA@BBVA.COM,monitoreocgr1.pe@bbva.com</v>
      </c>
    </row>
    <row r="300" spans="1:13" hidden="1" x14ac:dyDescent="0.25">
      <c r="A300" s="1">
        <v>269</v>
      </c>
      <c r="B300" s="1">
        <v>269</v>
      </c>
      <c r="C300" t="s">
        <v>1278</v>
      </c>
      <c r="D300" t="s">
        <v>152</v>
      </c>
      <c r="E300" t="s">
        <v>153</v>
      </c>
      <c r="F300" t="s">
        <v>24</v>
      </c>
      <c r="G300" t="s">
        <v>25</v>
      </c>
      <c r="H300" t="s">
        <v>26</v>
      </c>
      <c r="I300" t="s">
        <v>1279</v>
      </c>
      <c r="J300" t="s">
        <v>1280</v>
      </c>
      <c r="K300" t="s">
        <v>1281</v>
      </c>
      <c r="L300" s="6" t="s">
        <v>1804</v>
      </c>
      <c r="M300" t="str">
        <f t="shared" si="4"/>
        <v>ETABOADA@BBVA.COM,monitoreocgr1.pe@bbva.com</v>
      </c>
    </row>
    <row r="301" spans="1:13" hidden="1" x14ac:dyDescent="0.25">
      <c r="A301" s="1">
        <v>204</v>
      </c>
      <c r="B301" s="1">
        <v>204</v>
      </c>
      <c r="C301" t="s">
        <v>1282</v>
      </c>
      <c r="D301" t="s">
        <v>31</v>
      </c>
      <c r="E301" t="s">
        <v>32</v>
      </c>
      <c r="F301" t="s">
        <v>33</v>
      </c>
      <c r="G301" t="s">
        <v>34</v>
      </c>
      <c r="H301" t="s">
        <v>35</v>
      </c>
      <c r="I301" t="s">
        <v>1283</v>
      </c>
      <c r="J301" t="s">
        <v>1284</v>
      </c>
      <c r="K301" t="s">
        <v>1285</v>
      </c>
      <c r="L301" s="6" t="s">
        <v>1804</v>
      </c>
      <c r="M301" t="str">
        <f t="shared" si="4"/>
        <v>VSOSA@BBVA.COM,monitoreocgr1.pe@bbva.com</v>
      </c>
    </row>
    <row r="302" spans="1:13" hidden="1" x14ac:dyDescent="0.25">
      <c r="A302" s="1">
        <v>321</v>
      </c>
      <c r="B302" s="1">
        <v>321</v>
      </c>
      <c r="C302" t="s">
        <v>1286</v>
      </c>
      <c r="D302" t="s">
        <v>152</v>
      </c>
      <c r="E302" t="s">
        <v>153</v>
      </c>
      <c r="F302" t="s">
        <v>24</v>
      </c>
      <c r="G302" t="s">
        <v>25</v>
      </c>
      <c r="H302" t="s">
        <v>26</v>
      </c>
      <c r="I302" t="s">
        <v>1287</v>
      </c>
      <c r="J302" t="s">
        <v>1288</v>
      </c>
      <c r="K302" t="s">
        <v>1289</v>
      </c>
      <c r="L302" s="6" t="s">
        <v>1804</v>
      </c>
      <c r="M302" t="str">
        <f t="shared" si="4"/>
        <v>EOLAZO@BBVA.COM,monitoreocgr1.pe@bbva.com</v>
      </c>
    </row>
    <row r="303" spans="1:13" hidden="1" x14ac:dyDescent="0.25">
      <c r="A303" s="1">
        <v>787</v>
      </c>
      <c r="B303" s="1">
        <v>787</v>
      </c>
      <c r="C303" t="s">
        <v>1290</v>
      </c>
      <c r="D303" t="s">
        <v>178</v>
      </c>
      <c r="E303" t="s">
        <v>179</v>
      </c>
      <c r="F303" t="s">
        <v>24</v>
      </c>
      <c r="G303" t="s">
        <v>25</v>
      </c>
      <c r="H303" t="s">
        <v>26</v>
      </c>
      <c r="I303" t="s">
        <v>1291</v>
      </c>
      <c r="J303" t="s">
        <v>1292</v>
      </c>
      <c r="K303" t="s">
        <v>1293</v>
      </c>
      <c r="L303" s="6" t="s">
        <v>1804</v>
      </c>
      <c r="M303" t="str">
        <f t="shared" si="4"/>
        <v>CBARRIENTOSC@BBVA.COM,monitoreocgr1.pe@bbva.com</v>
      </c>
    </row>
    <row r="304" spans="1:13" hidden="1" x14ac:dyDescent="0.25">
      <c r="A304" s="1">
        <v>127</v>
      </c>
      <c r="B304" s="1">
        <v>127</v>
      </c>
      <c r="C304" t="s">
        <v>1294</v>
      </c>
      <c r="D304" t="s">
        <v>46</v>
      </c>
      <c r="E304" t="s">
        <v>47</v>
      </c>
      <c r="F304" t="s">
        <v>24</v>
      </c>
      <c r="G304" t="s">
        <v>25</v>
      </c>
      <c r="H304" t="s">
        <v>26</v>
      </c>
      <c r="I304" t="s">
        <v>1295</v>
      </c>
      <c r="J304" t="s">
        <v>1296</v>
      </c>
      <c r="K304" t="s">
        <v>1297</v>
      </c>
      <c r="L304" s="6" t="s">
        <v>1804</v>
      </c>
      <c r="M304" t="str">
        <f t="shared" si="4"/>
        <v>HALMONACIDR@BBVA.COM,monitoreocgr1.pe@bbva.com</v>
      </c>
    </row>
    <row r="305" spans="1:13" x14ac:dyDescent="0.25">
      <c r="A305" s="1">
        <v>659</v>
      </c>
      <c r="B305" s="1">
        <v>659</v>
      </c>
      <c r="C305" t="s">
        <v>1298</v>
      </c>
      <c r="D305" t="s">
        <v>70</v>
      </c>
      <c r="E305" t="s">
        <v>71</v>
      </c>
      <c r="F305" t="s">
        <v>24</v>
      </c>
      <c r="G305" t="s">
        <v>25</v>
      </c>
      <c r="H305" t="s">
        <v>26</v>
      </c>
      <c r="I305" t="s">
        <v>1299</v>
      </c>
      <c r="J305" t="s">
        <v>1300</v>
      </c>
      <c r="K305" t="s">
        <v>1301</v>
      </c>
      <c r="L305" s="6" t="s">
        <v>1804</v>
      </c>
      <c r="M305" t="str">
        <f t="shared" si="4"/>
        <v>ECHAVEZT@BBVA.COM,monitoreocgr1.pe@bbva.com</v>
      </c>
    </row>
    <row r="306" spans="1:13" hidden="1" x14ac:dyDescent="0.25">
      <c r="A306" s="1">
        <v>847</v>
      </c>
      <c r="B306" s="1">
        <v>847</v>
      </c>
      <c r="C306" t="s">
        <v>1302</v>
      </c>
      <c r="D306" t="s">
        <v>188</v>
      </c>
      <c r="E306" t="s">
        <v>189</v>
      </c>
      <c r="F306" t="s">
        <v>24</v>
      </c>
      <c r="G306" t="s">
        <v>25</v>
      </c>
      <c r="H306" t="s">
        <v>26</v>
      </c>
      <c r="I306" t="s">
        <v>1303</v>
      </c>
      <c r="J306" t="s">
        <v>1304</v>
      </c>
      <c r="K306" t="s">
        <v>1305</v>
      </c>
      <c r="L306" s="6" t="s">
        <v>1804</v>
      </c>
      <c r="M306" t="str">
        <f t="shared" si="4"/>
        <v>LVALENCIAC@BBVA.COM,monitoreocgr1.pe@bbva.com</v>
      </c>
    </row>
    <row r="307" spans="1:13" hidden="1" x14ac:dyDescent="0.25">
      <c r="A307" s="1">
        <v>960</v>
      </c>
      <c r="B307" s="1">
        <v>960</v>
      </c>
      <c r="C307" t="s">
        <v>1306</v>
      </c>
      <c r="D307" t="s">
        <v>122</v>
      </c>
      <c r="E307" t="s">
        <v>123</v>
      </c>
      <c r="F307" t="s">
        <v>24</v>
      </c>
      <c r="G307" t="s">
        <v>25</v>
      </c>
      <c r="H307" t="s">
        <v>26</v>
      </c>
      <c r="I307" t="s">
        <v>1307</v>
      </c>
      <c r="J307" t="s">
        <v>1308</v>
      </c>
      <c r="K307" t="s">
        <v>1309</v>
      </c>
      <c r="L307" s="6" t="s">
        <v>1804</v>
      </c>
      <c r="M307" t="str">
        <f t="shared" si="4"/>
        <v>JVEGAL@BBVA.COM,monitoreocgr1.pe@bbva.com</v>
      </c>
    </row>
    <row r="308" spans="1:13" hidden="1" x14ac:dyDescent="0.25">
      <c r="A308" s="1">
        <v>387</v>
      </c>
      <c r="B308" s="1">
        <v>387</v>
      </c>
      <c r="C308" t="s">
        <v>1310</v>
      </c>
      <c r="D308" t="s">
        <v>94</v>
      </c>
      <c r="E308" t="s">
        <v>95</v>
      </c>
      <c r="F308" t="s">
        <v>24</v>
      </c>
      <c r="G308" t="s">
        <v>25</v>
      </c>
      <c r="H308" t="s">
        <v>26</v>
      </c>
      <c r="I308" t="s">
        <v>1311</v>
      </c>
      <c r="J308" t="s">
        <v>1312</v>
      </c>
      <c r="K308" t="s">
        <v>1313</v>
      </c>
      <c r="L308" s="6" t="s">
        <v>1804</v>
      </c>
      <c r="M308" t="str">
        <f t="shared" si="4"/>
        <v>WARIASCH@BBVA.COM,monitoreocgr1.pe@bbva.com</v>
      </c>
    </row>
    <row r="309" spans="1:13" hidden="1" x14ac:dyDescent="0.25">
      <c r="A309" s="1">
        <v>875</v>
      </c>
      <c r="B309" s="1">
        <v>875</v>
      </c>
      <c r="C309" t="s">
        <v>1314</v>
      </c>
      <c r="D309" t="s">
        <v>46</v>
      </c>
      <c r="E309" t="s">
        <v>47</v>
      </c>
      <c r="F309" t="s">
        <v>24</v>
      </c>
      <c r="G309" t="s">
        <v>25</v>
      </c>
      <c r="H309" t="s">
        <v>26</v>
      </c>
      <c r="I309" t="s">
        <v>1315</v>
      </c>
      <c r="J309" t="s">
        <v>1316</v>
      </c>
      <c r="K309" t="s">
        <v>1317</v>
      </c>
      <c r="L309" s="6" t="s">
        <v>1804</v>
      </c>
      <c r="M309" t="str">
        <f t="shared" si="4"/>
        <v>DMALAGA@BBVA.COM,monitoreocgr1.pe@bbva.com</v>
      </c>
    </row>
    <row r="310" spans="1:13" hidden="1" x14ac:dyDescent="0.25">
      <c r="A310" s="1">
        <v>129</v>
      </c>
      <c r="B310" s="1">
        <v>129</v>
      </c>
      <c r="C310" t="s">
        <v>1318</v>
      </c>
      <c r="D310" t="s">
        <v>152</v>
      </c>
      <c r="E310" t="s">
        <v>153</v>
      </c>
      <c r="F310" t="s">
        <v>24</v>
      </c>
      <c r="G310" t="s">
        <v>25</v>
      </c>
      <c r="H310" t="s">
        <v>26</v>
      </c>
      <c r="I310" t="s">
        <v>1319</v>
      </c>
      <c r="J310" t="s">
        <v>1320</v>
      </c>
      <c r="K310" t="s">
        <v>1321</v>
      </c>
      <c r="L310" s="6" t="s">
        <v>1804</v>
      </c>
      <c r="M310" t="str">
        <f t="shared" si="4"/>
        <v>MAYQUIPAR@BBVA.COM,monitoreocgr1.pe@bbva.com</v>
      </c>
    </row>
    <row r="311" spans="1:13" hidden="1" x14ac:dyDescent="0.25">
      <c r="A311" s="1">
        <v>685</v>
      </c>
      <c r="B311" s="1">
        <v>685</v>
      </c>
      <c r="C311" t="s">
        <v>1322</v>
      </c>
      <c r="D311" t="s">
        <v>31</v>
      </c>
      <c r="E311" t="s">
        <v>600</v>
      </c>
      <c r="F311" t="s">
        <v>601</v>
      </c>
      <c r="G311" t="s">
        <v>602</v>
      </c>
      <c r="H311" t="s">
        <v>35</v>
      </c>
      <c r="I311" t="s">
        <v>1323</v>
      </c>
      <c r="J311" t="s">
        <v>1324</v>
      </c>
      <c r="K311" t="s">
        <v>1325</v>
      </c>
      <c r="L311" s="6" t="s">
        <v>1804</v>
      </c>
      <c r="M311" t="str">
        <f t="shared" si="4"/>
        <v>ANTONIO.JIMENEZ@BBVA.COM,monitoreocgr1.pe@bbva.com</v>
      </c>
    </row>
    <row r="312" spans="1:13" hidden="1" x14ac:dyDescent="0.25">
      <c r="A312" s="1">
        <v>263</v>
      </c>
      <c r="B312" s="1">
        <v>263</v>
      </c>
      <c r="C312" t="s">
        <v>1326</v>
      </c>
      <c r="D312" t="s">
        <v>40</v>
      </c>
      <c r="E312" t="s">
        <v>41</v>
      </c>
      <c r="F312" t="s">
        <v>24</v>
      </c>
      <c r="G312" t="s">
        <v>25</v>
      </c>
      <c r="H312" t="s">
        <v>26</v>
      </c>
      <c r="I312" t="s">
        <v>1327</v>
      </c>
      <c r="J312" t="s">
        <v>1328</v>
      </c>
      <c r="K312" t="s">
        <v>1329</v>
      </c>
      <c r="L312" s="6" t="s">
        <v>1804</v>
      </c>
      <c r="M312" t="str">
        <f t="shared" si="4"/>
        <v>JBONTEMPS@BBVA.COM,monitoreocgr1.pe@bbva.com</v>
      </c>
    </row>
    <row r="313" spans="1:13" hidden="1" x14ac:dyDescent="0.25">
      <c r="A313" s="1">
        <v>167</v>
      </c>
      <c r="B313" s="1">
        <v>167</v>
      </c>
      <c r="C313" t="s">
        <v>1330</v>
      </c>
      <c r="D313" t="s">
        <v>122</v>
      </c>
      <c r="E313" t="s">
        <v>123</v>
      </c>
      <c r="F313" t="s">
        <v>24</v>
      </c>
      <c r="G313" t="s">
        <v>25</v>
      </c>
      <c r="H313" t="s">
        <v>26</v>
      </c>
      <c r="I313" t="s">
        <v>1331</v>
      </c>
      <c r="J313" t="s">
        <v>1332</v>
      </c>
      <c r="K313" t="s">
        <v>1333</v>
      </c>
      <c r="L313" s="6" t="s">
        <v>1804</v>
      </c>
      <c r="M313" t="str">
        <f t="shared" si="4"/>
        <v>MPAREDESQ@BBVA.COM,monitoreocgr1.pe@bbva.com</v>
      </c>
    </row>
    <row r="314" spans="1:13" hidden="1" x14ac:dyDescent="0.25">
      <c r="A314" s="1">
        <v>340</v>
      </c>
      <c r="B314" s="1">
        <v>340</v>
      </c>
      <c r="C314" t="s">
        <v>1334</v>
      </c>
      <c r="D314" t="s">
        <v>122</v>
      </c>
      <c r="E314" t="s">
        <v>123</v>
      </c>
      <c r="F314" t="s">
        <v>24</v>
      </c>
      <c r="G314" t="s">
        <v>25</v>
      </c>
      <c r="H314" t="s">
        <v>26</v>
      </c>
      <c r="I314" t="s">
        <v>1335</v>
      </c>
      <c r="J314" t="s">
        <v>1336</v>
      </c>
      <c r="K314" t="s">
        <v>1337</v>
      </c>
      <c r="L314" s="6" t="s">
        <v>1804</v>
      </c>
      <c r="M314" t="str">
        <f t="shared" si="4"/>
        <v>MSGALVEZ@BBVA.COM,monitoreocgr1.pe@bbva.com</v>
      </c>
    </row>
    <row r="315" spans="1:13" x14ac:dyDescent="0.25">
      <c r="A315" s="1">
        <v>322</v>
      </c>
      <c r="B315" s="1">
        <v>322</v>
      </c>
      <c r="C315" t="s">
        <v>1338</v>
      </c>
      <c r="D315" t="s">
        <v>70</v>
      </c>
      <c r="E315" t="s">
        <v>71</v>
      </c>
      <c r="F315" t="s">
        <v>24</v>
      </c>
      <c r="G315" t="s">
        <v>25</v>
      </c>
      <c r="H315" t="s">
        <v>26</v>
      </c>
      <c r="I315" t="s">
        <v>1339</v>
      </c>
      <c r="J315" t="s">
        <v>1340</v>
      </c>
      <c r="K315" t="s">
        <v>1341</v>
      </c>
      <c r="L315" s="6" t="s">
        <v>1804</v>
      </c>
      <c r="M315" t="str">
        <f t="shared" si="4"/>
        <v>AACERO@BBVA.COM,monitoreocgr1.pe@bbva.com</v>
      </c>
    </row>
    <row r="316" spans="1:13" x14ac:dyDescent="0.25">
      <c r="A316" s="1">
        <v>163</v>
      </c>
      <c r="B316" s="1">
        <v>163</v>
      </c>
      <c r="C316" t="s">
        <v>1342</v>
      </c>
      <c r="D316" t="s">
        <v>70</v>
      </c>
      <c r="E316" t="s">
        <v>71</v>
      </c>
      <c r="F316" t="s">
        <v>24</v>
      </c>
      <c r="G316" t="s">
        <v>25</v>
      </c>
      <c r="H316" t="s">
        <v>26</v>
      </c>
      <c r="I316" t="s">
        <v>1343</v>
      </c>
      <c r="J316" t="s">
        <v>1344</v>
      </c>
      <c r="K316" t="s">
        <v>1345</v>
      </c>
      <c r="L316" s="6" t="s">
        <v>1804</v>
      </c>
      <c r="M316" t="str">
        <f t="shared" si="4"/>
        <v>mercedes.torres.medina@bbva.com,monitoreocgr1.pe@bbva.com</v>
      </c>
    </row>
    <row r="317" spans="1:13" hidden="1" x14ac:dyDescent="0.25">
      <c r="A317" s="1">
        <v>149</v>
      </c>
      <c r="B317" s="1">
        <v>149</v>
      </c>
      <c r="C317" t="s">
        <v>1346</v>
      </c>
      <c r="D317" t="s">
        <v>112</v>
      </c>
      <c r="E317" t="s">
        <v>113</v>
      </c>
      <c r="F317" t="s">
        <v>24</v>
      </c>
      <c r="G317" t="s">
        <v>25</v>
      </c>
      <c r="H317" t="s">
        <v>26</v>
      </c>
      <c r="I317" t="s">
        <v>1347</v>
      </c>
      <c r="J317" t="s">
        <v>1348</v>
      </c>
      <c r="K317" t="s">
        <v>1349</v>
      </c>
      <c r="L317" s="6" t="s">
        <v>1804</v>
      </c>
      <c r="M317" t="str">
        <f t="shared" si="4"/>
        <v>ROSARIO.VALDIVIESO@BBVA.COM,monitoreocgr1.pe@bbva.com</v>
      </c>
    </row>
    <row r="318" spans="1:13" hidden="1" x14ac:dyDescent="0.25">
      <c r="A318" s="1">
        <v>396</v>
      </c>
      <c r="B318" s="1">
        <v>396</v>
      </c>
      <c r="C318" t="s">
        <v>1350</v>
      </c>
      <c r="D318" t="s">
        <v>188</v>
      </c>
      <c r="E318" t="s">
        <v>189</v>
      </c>
      <c r="F318" t="s">
        <v>24</v>
      </c>
      <c r="G318" t="s">
        <v>25</v>
      </c>
      <c r="H318" t="s">
        <v>26</v>
      </c>
      <c r="I318" t="s">
        <v>1351</v>
      </c>
      <c r="J318" t="s">
        <v>1352</v>
      </c>
      <c r="K318" t="s">
        <v>1353</v>
      </c>
      <c r="L318" s="6" t="s">
        <v>1804</v>
      </c>
      <c r="M318" t="str">
        <f t="shared" si="4"/>
        <v>DEYBE.YACOLCA@BBVA.COM,monitoreocgr1.pe@bbva.com</v>
      </c>
    </row>
    <row r="319" spans="1:13" hidden="1" x14ac:dyDescent="0.25">
      <c r="A319" s="1">
        <v>30</v>
      </c>
      <c r="B319" s="1">
        <v>30</v>
      </c>
      <c r="C319" t="s">
        <v>1354</v>
      </c>
      <c r="D319" t="s">
        <v>22</v>
      </c>
      <c r="E319" t="s">
        <v>345</v>
      </c>
      <c r="F319" t="s">
        <v>24</v>
      </c>
      <c r="G319" t="s">
        <v>25</v>
      </c>
      <c r="H319" t="s">
        <v>26</v>
      </c>
      <c r="I319" t="s">
        <v>1355</v>
      </c>
      <c r="J319" t="s">
        <v>1356</v>
      </c>
      <c r="K319" t="s">
        <v>1357</v>
      </c>
      <c r="L319" s="6" t="s">
        <v>1804</v>
      </c>
      <c r="M319" t="str">
        <f t="shared" si="4"/>
        <v>YONY.DIAZ@BBVA.COM,monitoreocgr1.pe@bbva.com</v>
      </c>
    </row>
    <row r="320" spans="1:13" hidden="1" x14ac:dyDescent="0.25">
      <c r="A320" s="1">
        <v>181</v>
      </c>
      <c r="B320" s="1">
        <v>181</v>
      </c>
      <c r="C320" t="s">
        <v>1358</v>
      </c>
      <c r="D320" t="s">
        <v>112</v>
      </c>
      <c r="E320" t="s">
        <v>113</v>
      </c>
      <c r="F320" t="s">
        <v>24</v>
      </c>
      <c r="G320" t="s">
        <v>25</v>
      </c>
      <c r="H320" t="s">
        <v>26</v>
      </c>
      <c r="I320" t="s">
        <v>1359</v>
      </c>
      <c r="J320" t="s">
        <v>1360</v>
      </c>
      <c r="K320" t="s">
        <v>1361</v>
      </c>
      <c r="L320" s="6" t="s">
        <v>1804</v>
      </c>
      <c r="M320" t="str">
        <f t="shared" si="4"/>
        <v>RICHARD.SERRANO@BBVA.COM,monitoreocgr1.pe@bbva.com</v>
      </c>
    </row>
    <row r="321" spans="1:13" hidden="1" x14ac:dyDescent="0.25">
      <c r="A321" s="1">
        <v>615</v>
      </c>
      <c r="B321" s="1">
        <v>615</v>
      </c>
      <c r="C321" t="s">
        <v>1362</v>
      </c>
      <c r="D321" t="s">
        <v>94</v>
      </c>
      <c r="E321" t="s">
        <v>95</v>
      </c>
      <c r="F321" t="s">
        <v>24</v>
      </c>
      <c r="G321" t="s">
        <v>25</v>
      </c>
      <c r="H321" t="s">
        <v>26</v>
      </c>
      <c r="I321" t="s">
        <v>1363</v>
      </c>
      <c r="J321" t="s">
        <v>1364</v>
      </c>
      <c r="K321" t="s">
        <v>1365</v>
      </c>
      <c r="L321" s="6" t="s">
        <v>1804</v>
      </c>
      <c r="M321" t="str">
        <f t="shared" si="4"/>
        <v>NESTOR.ROJAS@BBVA.COM,monitoreocgr1.pe@bbva.com</v>
      </c>
    </row>
    <row r="322" spans="1:13" hidden="1" x14ac:dyDescent="0.25">
      <c r="A322" s="1">
        <v>10</v>
      </c>
      <c r="B322" s="1">
        <v>10</v>
      </c>
      <c r="C322" t="s">
        <v>1366</v>
      </c>
      <c r="D322" t="s">
        <v>152</v>
      </c>
      <c r="E322" t="s">
        <v>153</v>
      </c>
      <c r="F322" t="s">
        <v>24</v>
      </c>
      <c r="G322" t="s">
        <v>25</v>
      </c>
      <c r="H322" t="s">
        <v>26</v>
      </c>
      <c r="I322" t="s">
        <v>1367</v>
      </c>
      <c r="J322" t="s">
        <v>1368</v>
      </c>
      <c r="K322" t="s">
        <v>1369</v>
      </c>
      <c r="L322" s="6" t="s">
        <v>1804</v>
      </c>
      <c r="M322" t="str">
        <f t="shared" si="4"/>
        <v>LIZ.VIERA@BBVA.COM,monitoreocgr1.pe@bbva.com</v>
      </c>
    </row>
    <row r="323" spans="1:13" hidden="1" x14ac:dyDescent="0.25">
      <c r="A323" s="1">
        <v>597</v>
      </c>
      <c r="B323" s="1">
        <v>597</v>
      </c>
      <c r="C323" t="s">
        <v>1370</v>
      </c>
      <c r="D323" t="s">
        <v>152</v>
      </c>
      <c r="E323" t="s">
        <v>153</v>
      </c>
      <c r="F323" t="s">
        <v>24</v>
      </c>
      <c r="G323" t="s">
        <v>25</v>
      </c>
      <c r="H323" t="s">
        <v>26</v>
      </c>
      <c r="I323" t="s">
        <v>1371</v>
      </c>
      <c r="J323" t="s">
        <v>1372</v>
      </c>
      <c r="K323" t="s">
        <v>1373</v>
      </c>
      <c r="L323" s="6" t="s">
        <v>1804</v>
      </c>
      <c r="M323" t="str">
        <f t="shared" ref="M323:M355" si="5">CONCATENATE(K323,",",L323)</f>
        <v>DIEGO.LAGONES@BBVA.COM,monitoreocgr1.pe@bbva.com</v>
      </c>
    </row>
    <row r="324" spans="1:13" x14ac:dyDescent="0.25">
      <c r="A324" s="1">
        <v>124</v>
      </c>
      <c r="B324" s="1">
        <v>124</v>
      </c>
      <c r="C324" t="s">
        <v>1374</v>
      </c>
      <c r="D324" t="s">
        <v>70</v>
      </c>
      <c r="E324" t="s">
        <v>71</v>
      </c>
      <c r="F324" t="s">
        <v>24</v>
      </c>
      <c r="G324" t="s">
        <v>25</v>
      </c>
      <c r="H324" t="s">
        <v>26</v>
      </c>
      <c r="I324" t="s">
        <v>1375</v>
      </c>
      <c r="J324" t="s">
        <v>1376</v>
      </c>
      <c r="K324" t="s">
        <v>1377</v>
      </c>
      <c r="L324" s="6" t="s">
        <v>1804</v>
      </c>
      <c r="M324" t="str">
        <f t="shared" si="5"/>
        <v>laly.ortiz@bbva.com,monitoreocgr1.pe@bbva.com</v>
      </c>
    </row>
    <row r="325" spans="1:13" hidden="1" x14ac:dyDescent="0.25">
      <c r="A325" s="1">
        <v>364</v>
      </c>
      <c r="B325" s="1">
        <v>364</v>
      </c>
      <c r="C325" t="s">
        <v>1378</v>
      </c>
      <c r="D325" t="s">
        <v>94</v>
      </c>
      <c r="E325" t="s">
        <v>95</v>
      </c>
      <c r="F325" t="s">
        <v>24</v>
      </c>
      <c r="G325" t="s">
        <v>25</v>
      </c>
      <c r="H325" t="s">
        <v>26</v>
      </c>
      <c r="I325" t="s">
        <v>1379</v>
      </c>
      <c r="J325" t="s">
        <v>1380</v>
      </c>
      <c r="K325" t="s">
        <v>1381</v>
      </c>
      <c r="L325" s="6" t="s">
        <v>1804</v>
      </c>
      <c r="M325" t="str">
        <f t="shared" si="5"/>
        <v>ROBERTH.VALDERRAMA@BBVA.COM,monitoreocgr1.pe@bbva.com</v>
      </c>
    </row>
    <row r="326" spans="1:13" hidden="1" x14ac:dyDescent="0.25">
      <c r="A326" s="1">
        <v>305</v>
      </c>
      <c r="B326" s="1">
        <v>305</v>
      </c>
      <c r="C326" t="s">
        <v>316</v>
      </c>
      <c r="D326" t="s">
        <v>210</v>
      </c>
      <c r="E326" t="s">
        <v>211</v>
      </c>
      <c r="F326" t="s">
        <v>33</v>
      </c>
      <c r="G326" t="s">
        <v>34</v>
      </c>
      <c r="H326" t="s">
        <v>35</v>
      </c>
      <c r="I326" t="s">
        <v>1382</v>
      </c>
      <c r="J326" t="s">
        <v>1383</v>
      </c>
      <c r="K326" t="s">
        <v>1384</v>
      </c>
      <c r="L326" s="6" t="s">
        <v>1804</v>
      </c>
      <c r="M326" t="str">
        <f t="shared" si="5"/>
        <v>SHASHA.RAMIREZ@BBVA.COM,monitoreocgr1.pe@bbva.com</v>
      </c>
    </row>
    <row r="327" spans="1:13" x14ac:dyDescent="0.25">
      <c r="A327" s="1">
        <v>257</v>
      </c>
      <c r="B327" s="1">
        <v>257</v>
      </c>
      <c r="C327" t="s">
        <v>1385</v>
      </c>
      <c r="D327" t="s">
        <v>70</v>
      </c>
      <c r="E327" t="s">
        <v>71</v>
      </c>
      <c r="F327" t="s">
        <v>24</v>
      </c>
      <c r="G327" t="s">
        <v>25</v>
      </c>
      <c r="H327" t="s">
        <v>26</v>
      </c>
      <c r="I327" t="s">
        <v>1386</v>
      </c>
      <c r="J327" t="s">
        <v>1387</v>
      </c>
      <c r="K327" t="s">
        <v>1388</v>
      </c>
      <c r="L327" s="6" t="s">
        <v>1804</v>
      </c>
      <c r="M327" t="str">
        <f t="shared" si="5"/>
        <v>LUIS.TAPAHUASCO@BBVA.COM,monitoreocgr1.pe@bbva.com</v>
      </c>
    </row>
    <row r="328" spans="1:13" hidden="1" x14ac:dyDescent="0.25">
      <c r="A328" s="1">
        <v>268</v>
      </c>
      <c r="B328" s="1">
        <v>268</v>
      </c>
      <c r="C328" t="s">
        <v>1389</v>
      </c>
      <c r="D328" t="s">
        <v>22</v>
      </c>
      <c r="E328" t="s">
        <v>345</v>
      </c>
      <c r="F328" t="s">
        <v>24</v>
      </c>
      <c r="G328" t="s">
        <v>25</v>
      </c>
      <c r="H328" t="s">
        <v>26</v>
      </c>
      <c r="I328" t="s">
        <v>1390</v>
      </c>
      <c r="J328" t="s">
        <v>1391</v>
      </c>
      <c r="K328" t="s">
        <v>1392</v>
      </c>
      <c r="L328" s="6" t="s">
        <v>1804</v>
      </c>
      <c r="M328" t="str">
        <f t="shared" si="5"/>
        <v>ALMAYDER.ZEVALLOS@BBVA.COM,monitoreocgr1.pe@bbva.com</v>
      </c>
    </row>
    <row r="329" spans="1:13" hidden="1" x14ac:dyDescent="0.25">
      <c r="A329" s="1">
        <v>81</v>
      </c>
      <c r="B329" s="1">
        <v>81</v>
      </c>
      <c r="C329" t="s">
        <v>1393</v>
      </c>
      <c r="D329" t="s">
        <v>254</v>
      </c>
      <c r="E329" t="s">
        <v>312</v>
      </c>
      <c r="F329" t="s">
        <v>24</v>
      </c>
      <c r="G329" t="s">
        <v>25</v>
      </c>
      <c r="H329" t="s">
        <v>26</v>
      </c>
      <c r="I329" t="s">
        <v>1394</v>
      </c>
      <c r="J329" t="s">
        <v>1395</v>
      </c>
      <c r="K329" t="s">
        <v>1396</v>
      </c>
      <c r="L329" s="6" t="s">
        <v>1804</v>
      </c>
      <c r="M329" t="str">
        <f t="shared" si="5"/>
        <v>MAGNA.CARDOZO@BBVA.COM,monitoreocgr1.pe@bbva.com</v>
      </c>
    </row>
    <row r="330" spans="1:13" hidden="1" x14ac:dyDescent="0.25">
      <c r="A330" s="1">
        <v>750</v>
      </c>
      <c r="B330" s="1">
        <v>750</v>
      </c>
      <c r="C330" t="s">
        <v>1397</v>
      </c>
      <c r="D330" t="s">
        <v>152</v>
      </c>
      <c r="E330" t="s">
        <v>153</v>
      </c>
      <c r="F330" t="s">
        <v>24</v>
      </c>
      <c r="G330" t="s">
        <v>25</v>
      </c>
      <c r="H330" t="s">
        <v>26</v>
      </c>
      <c r="I330" t="s">
        <v>1398</v>
      </c>
      <c r="J330" t="s">
        <v>1399</v>
      </c>
      <c r="K330" t="s">
        <v>1400</v>
      </c>
      <c r="L330" s="6" t="s">
        <v>1804</v>
      </c>
      <c r="M330" t="str">
        <f t="shared" si="5"/>
        <v>SHEYLA.ALZAMORA@BBVA.COM,monitoreocgr1.pe@bbva.com</v>
      </c>
    </row>
    <row r="331" spans="1:13" hidden="1" x14ac:dyDescent="0.25">
      <c r="A331" s="1">
        <v>366</v>
      </c>
      <c r="B331" s="1">
        <v>366</v>
      </c>
      <c r="C331" t="s">
        <v>1401</v>
      </c>
      <c r="D331" t="s">
        <v>112</v>
      </c>
      <c r="E331" t="s">
        <v>113</v>
      </c>
      <c r="F331" t="s">
        <v>24</v>
      </c>
      <c r="G331" t="s">
        <v>25</v>
      </c>
      <c r="H331" t="s">
        <v>26</v>
      </c>
      <c r="I331" t="s">
        <v>1402</v>
      </c>
      <c r="J331" t="s">
        <v>1403</v>
      </c>
      <c r="K331" t="s">
        <v>1404</v>
      </c>
      <c r="L331" s="6" t="s">
        <v>1804</v>
      </c>
      <c r="M331" t="str">
        <f t="shared" si="5"/>
        <v>GIORDY.OLAZABAL@BBVA.COM,monitoreocgr1.pe@bbva.com</v>
      </c>
    </row>
    <row r="332" spans="1:13" hidden="1" x14ac:dyDescent="0.25">
      <c r="A332" s="1">
        <v>54</v>
      </c>
      <c r="B332" s="1">
        <v>54</v>
      </c>
      <c r="C332" t="s">
        <v>1405</v>
      </c>
      <c r="D332" t="s">
        <v>282</v>
      </c>
      <c r="E332" t="s">
        <v>283</v>
      </c>
      <c r="F332" t="s">
        <v>24</v>
      </c>
      <c r="G332" t="s">
        <v>25</v>
      </c>
      <c r="H332" t="s">
        <v>26</v>
      </c>
      <c r="I332" t="s">
        <v>1406</v>
      </c>
      <c r="J332" t="s">
        <v>1407</v>
      </c>
      <c r="K332" t="s">
        <v>1408</v>
      </c>
      <c r="L332" s="6" t="s">
        <v>1804</v>
      </c>
      <c r="M332" t="str">
        <f t="shared" si="5"/>
        <v>ALBANO.TORRES@BBVA.COM,monitoreocgr1.pe@bbva.com</v>
      </c>
    </row>
    <row r="333" spans="1:13" hidden="1" x14ac:dyDescent="0.25">
      <c r="A333" s="1">
        <v>180</v>
      </c>
      <c r="B333" s="1">
        <v>180</v>
      </c>
      <c r="C333" t="s">
        <v>1409</v>
      </c>
      <c r="D333" t="s">
        <v>122</v>
      </c>
      <c r="E333" t="s">
        <v>123</v>
      </c>
      <c r="F333" t="s">
        <v>24</v>
      </c>
      <c r="G333" t="s">
        <v>25</v>
      </c>
      <c r="H333" t="s">
        <v>26</v>
      </c>
      <c r="I333" t="s">
        <v>1410</v>
      </c>
      <c r="J333" t="s">
        <v>1411</v>
      </c>
      <c r="K333" t="s">
        <v>1412</v>
      </c>
      <c r="L333" s="6" t="s">
        <v>1804</v>
      </c>
      <c r="M333" t="str">
        <f t="shared" si="5"/>
        <v>JACKELYNE.VILCA@BBVA.COM,monitoreocgr1.pe@bbva.com</v>
      </c>
    </row>
    <row r="334" spans="1:13" hidden="1" x14ac:dyDescent="0.25">
      <c r="A334" s="1">
        <v>791</v>
      </c>
      <c r="B334" s="1">
        <v>791</v>
      </c>
      <c r="C334" t="s">
        <v>1413</v>
      </c>
      <c r="D334" t="s">
        <v>178</v>
      </c>
      <c r="E334" t="s">
        <v>179</v>
      </c>
      <c r="F334" t="s">
        <v>24</v>
      </c>
      <c r="G334" t="s">
        <v>25</v>
      </c>
      <c r="H334" t="s">
        <v>26</v>
      </c>
      <c r="I334" t="s">
        <v>1414</v>
      </c>
      <c r="J334" t="s">
        <v>1415</v>
      </c>
      <c r="K334" t="s">
        <v>1416</v>
      </c>
      <c r="L334" s="6" t="s">
        <v>1804</v>
      </c>
      <c r="M334" t="str">
        <f t="shared" si="5"/>
        <v>RICARDO.GARCIA.CHIRINOS@BBVA.COM,monitoreocgr1.pe@bbva.com</v>
      </c>
    </row>
    <row r="335" spans="1:13" x14ac:dyDescent="0.25">
      <c r="A335" s="1">
        <v>244</v>
      </c>
      <c r="B335" s="1">
        <v>244</v>
      </c>
      <c r="C335" t="s">
        <v>1417</v>
      </c>
      <c r="D335" t="s">
        <v>70</v>
      </c>
      <c r="E335" t="s">
        <v>71</v>
      </c>
      <c r="F335" t="s">
        <v>24</v>
      </c>
      <c r="G335" t="s">
        <v>25</v>
      </c>
      <c r="H335" t="s">
        <v>26</v>
      </c>
      <c r="I335" t="s">
        <v>1471</v>
      </c>
      <c r="J335" t="s">
        <v>1472</v>
      </c>
      <c r="K335" t="s">
        <v>1473</v>
      </c>
      <c r="L335" s="6" t="s">
        <v>1804</v>
      </c>
      <c r="M335" t="str">
        <f t="shared" si="5"/>
        <v>PIERO.CABALLERO@BBVA.COM,monitoreocgr1.pe@bbva.com</v>
      </c>
    </row>
    <row r="336" spans="1:13" hidden="1" x14ac:dyDescent="0.25">
      <c r="A336" s="1">
        <v>521</v>
      </c>
      <c r="B336" s="1">
        <v>521</v>
      </c>
      <c r="C336" t="s">
        <v>1418</v>
      </c>
      <c r="D336" t="s">
        <v>282</v>
      </c>
      <c r="E336" t="s">
        <v>283</v>
      </c>
      <c r="F336" t="s">
        <v>24</v>
      </c>
      <c r="G336" t="s">
        <v>25</v>
      </c>
      <c r="H336" t="s">
        <v>26</v>
      </c>
      <c r="I336" t="s">
        <v>1419</v>
      </c>
      <c r="J336" t="s">
        <v>1420</v>
      </c>
      <c r="K336" t="s">
        <v>1421</v>
      </c>
      <c r="L336" s="6" t="s">
        <v>1804</v>
      </c>
      <c r="M336" t="str">
        <f t="shared" si="5"/>
        <v>NOELIA.BLAS@BBVA.COM,monitoreocgr1.pe@bbva.com</v>
      </c>
    </row>
    <row r="337" spans="1:13" hidden="1" x14ac:dyDescent="0.25">
      <c r="A337" s="1">
        <v>53</v>
      </c>
      <c r="B337" s="1">
        <v>53</v>
      </c>
      <c r="C337" t="s">
        <v>1422</v>
      </c>
      <c r="D337" t="s">
        <v>282</v>
      </c>
      <c r="E337" t="s">
        <v>283</v>
      </c>
      <c r="F337" t="s">
        <v>24</v>
      </c>
      <c r="G337" t="s">
        <v>25</v>
      </c>
      <c r="H337" t="s">
        <v>26</v>
      </c>
      <c r="I337" t="s">
        <v>1423</v>
      </c>
      <c r="J337" t="s">
        <v>1424</v>
      </c>
      <c r="K337" t="s">
        <v>1425</v>
      </c>
      <c r="L337" s="6" t="s">
        <v>1804</v>
      </c>
      <c r="M337" t="str">
        <f t="shared" si="5"/>
        <v>OMAR.HIGAKI@BBVA.COM,monitoreocgr1.pe@bbva.com</v>
      </c>
    </row>
    <row r="338" spans="1:13" hidden="1" x14ac:dyDescent="0.25">
      <c r="A338" s="1">
        <v>2</v>
      </c>
      <c r="B338" s="1">
        <v>2</v>
      </c>
      <c r="C338" t="s">
        <v>1426</v>
      </c>
      <c r="D338" t="s">
        <v>46</v>
      </c>
      <c r="E338" t="s">
        <v>47</v>
      </c>
      <c r="F338" t="s">
        <v>24</v>
      </c>
      <c r="G338" t="s">
        <v>25</v>
      </c>
      <c r="H338" t="s">
        <v>26</v>
      </c>
      <c r="I338" t="s">
        <v>1427</v>
      </c>
      <c r="J338" t="s">
        <v>1428</v>
      </c>
      <c r="K338" t="s">
        <v>1429</v>
      </c>
      <c r="L338" s="6" t="s">
        <v>1804</v>
      </c>
      <c r="M338" t="str">
        <f t="shared" si="5"/>
        <v>CARLA.TAVARA@BBVA.COM,monitoreocgr1.pe@bbva.com</v>
      </c>
    </row>
    <row r="339" spans="1:13" hidden="1" x14ac:dyDescent="0.25">
      <c r="A339" s="1">
        <v>616</v>
      </c>
      <c r="B339" s="1">
        <v>616</v>
      </c>
      <c r="C339" t="s">
        <v>1430</v>
      </c>
      <c r="D339" t="s">
        <v>112</v>
      </c>
      <c r="E339" t="s">
        <v>113</v>
      </c>
      <c r="F339" t="s">
        <v>24</v>
      </c>
      <c r="G339" t="s">
        <v>25</v>
      </c>
      <c r="H339" t="s">
        <v>26</v>
      </c>
      <c r="I339" t="s">
        <v>1431</v>
      </c>
      <c r="J339" t="s">
        <v>1432</v>
      </c>
      <c r="K339" t="s">
        <v>1433</v>
      </c>
      <c r="L339" s="6" t="s">
        <v>1804</v>
      </c>
      <c r="M339" t="str">
        <f t="shared" si="5"/>
        <v>GILBERT.RIVERA@BBVA.COM,monitoreocgr1.pe@bbva.com</v>
      </c>
    </row>
    <row r="340" spans="1:13" hidden="1" x14ac:dyDescent="0.25">
      <c r="A340" s="1">
        <v>628</v>
      </c>
      <c r="B340" s="1">
        <v>628</v>
      </c>
      <c r="C340" t="s">
        <v>1434</v>
      </c>
      <c r="D340" t="s">
        <v>152</v>
      </c>
      <c r="E340" t="s">
        <v>153</v>
      </c>
      <c r="F340" t="s">
        <v>24</v>
      </c>
      <c r="G340" t="s">
        <v>25</v>
      </c>
      <c r="H340" t="s">
        <v>26</v>
      </c>
      <c r="I340" t="s">
        <v>1435</v>
      </c>
      <c r="J340" t="s">
        <v>1436</v>
      </c>
      <c r="K340" t="s">
        <v>1437</v>
      </c>
      <c r="L340" s="6" t="s">
        <v>1804</v>
      </c>
      <c r="M340" t="str">
        <f t="shared" si="5"/>
        <v>SHERIDA.AYLLON@BBVA.COM,monitoreocgr1.pe@bbva.com</v>
      </c>
    </row>
    <row r="341" spans="1:13" hidden="1" x14ac:dyDescent="0.25">
      <c r="A341" s="1">
        <v>93</v>
      </c>
      <c r="B341" s="1">
        <v>93</v>
      </c>
      <c r="C341" t="s">
        <v>1438</v>
      </c>
      <c r="D341" t="s">
        <v>122</v>
      </c>
      <c r="E341" t="s">
        <v>123</v>
      </c>
      <c r="F341" t="s">
        <v>24</v>
      </c>
      <c r="G341" t="s">
        <v>25</v>
      </c>
      <c r="H341" t="s">
        <v>26</v>
      </c>
      <c r="I341" t="s">
        <v>1439</v>
      </c>
      <c r="J341" t="s">
        <v>1440</v>
      </c>
      <c r="K341" t="s">
        <v>1441</v>
      </c>
      <c r="L341" s="6" t="s">
        <v>1804</v>
      </c>
      <c r="M341" t="str">
        <f t="shared" si="5"/>
        <v>JOSE.YARLEQUE@BBVA.COM,monitoreocgr1.pe@bbva.com</v>
      </c>
    </row>
    <row r="342" spans="1:13" hidden="1" x14ac:dyDescent="0.25">
      <c r="A342" s="1">
        <v>328</v>
      </c>
      <c r="B342" s="1">
        <v>328</v>
      </c>
      <c r="C342" t="s">
        <v>1442</v>
      </c>
      <c r="D342" t="s">
        <v>178</v>
      </c>
      <c r="E342" t="s">
        <v>179</v>
      </c>
      <c r="F342" t="s">
        <v>24</v>
      </c>
      <c r="G342" t="s">
        <v>25</v>
      </c>
      <c r="H342" t="s">
        <v>26</v>
      </c>
      <c r="I342" t="s">
        <v>1443</v>
      </c>
      <c r="J342" t="s">
        <v>1444</v>
      </c>
      <c r="K342" t="s">
        <v>1445</v>
      </c>
      <c r="L342" s="6" t="s">
        <v>1804</v>
      </c>
      <c r="M342" t="str">
        <f t="shared" si="5"/>
        <v>MILUSKA.SURCO@BBVA.COM,monitoreocgr1.pe@bbva.com</v>
      </c>
    </row>
    <row r="343" spans="1:13" hidden="1" x14ac:dyDescent="0.25">
      <c r="A343" s="1">
        <v>868</v>
      </c>
      <c r="B343" s="1">
        <v>868</v>
      </c>
      <c r="C343" t="s">
        <v>1446</v>
      </c>
      <c r="D343" t="s">
        <v>282</v>
      </c>
      <c r="E343" t="s">
        <v>283</v>
      </c>
      <c r="F343" t="s">
        <v>24</v>
      </c>
      <c r="G343" t="s">
        <v>25</v>
      </c>
      <c r="H343" t="s">
        <v>26</v>
      </c>
      <c r="I343" t="s">
        <v>1447</v>
      </c>
      <c r="J343" t="s">
        <v>1448</v>
      </c>
      <c r="K343" t="s">
        <v>1449</v>
      </c>
      <c r="L343" s="6" t="s">
        <v>1804</v>
      </c>
      <c r="M343" t="str">
        <f t="shared" si="5"/>
        <v>ANY.GOMEZ@BBVA.COM,monitoreocgr1.pe@bbva.com</v>
      </c>
    </row>
    <row r="344" spans="1:13" hidden="1" x14ac:dyDescent="0.25">
      <c r="A344" s="1">
        <v>133</v>
      </c>
      <c r="B344" s="1">
        <v>133</v>
      </c>
      <c r="C344" t="s">
        <v>1450</v>
      </c>
      <c r="D344" t="s">
        <v>282</v>
      </c>
      <c r="E344" t="s">
        <v>283</v>
      </c>
      <c r="F344" t="s">
        <v>24</v>
      </c>
      <c r="G344" t="s">
        <v>25</v>
      </c>
      <c r="H344" t="s">
        <v>26</v>
      </c>
      <c r="I344" t="s">
        <v>1451</v>
      </c>
      <c r="J344" t="s">
        <v>1452</v>
      </c>
      <c r="K344" t="s">
        <v>1453</v>
      </c>
      <c r="L344" s="6" t="s">
        <v>1804</v>
      </c>
      <c r="M344" t="str">
        <f t="shared" si="5"/>
        <v>KATHERINE.CAMARGO@BBVA.COM,monitoreocgr1.pe@bbva.com</v>
      </c>
    </row>
    <row r="345" spans="1:13" hidden="1" x14ac:dyDescent="0.25">
      <c r="A345" s="1">
        <v>879</v>
      </c>
      <c r="B345" s="1">
        <v>879</v>
      </c>
      <c r="C345" t="s">
        <v>1454</v>
      </c>
      <c r="D345" t="s">
        <v>178</v>
      </c>
      <c r="E345" t="s">
        <v>179</v>
      </c>
      <c r="F345" t="s">
        <v>24</v>
      </c>
      <c r="G345" t="s">
        <v>25</v>
      </c>
      <c r="H345" t="s">
        <v>26</v>
      </c>
      <c r="I345" t="s">
        <v>1455</v>
      </c>
      <c r="J345" t="s">
        <v>1456</v>
      </c>
      <c r="K345" t="s">
        <v>1457</v>
      </c>
      <c r="L345" s="6" t="s">
        <v>1804</v>
      </c>
      <c r="M345" t="str">
        <f t="shared" si="5"/>
        <v>SANDRA.CANO.PANANA@BBVA.COM,monitoreocgr1.pe@bbva.com</v>
      </c>
    </row>
    <row r="346" spans="1:13" hidden="1" x14ac:dyDescent="0.25">
      <c r="A346" s="1">
        <v>332</v>
      </c>
      <c r="B346" s="1">
        <v>332</v>
      </c>
      <c r="C346" t="s">
        <v>1458</v>
      </c>
      <c r="D346" t="s">
        <v>152</v>
      </c>
      <c r="E346" t="s">
        <v>153</v>
      </c>
      <c r="F346" t="s">
        <v>24</v>
      </c>
      <c r="G346" t="s">
        <v>25</v>
      </c>
      <c r="H346" t="s">
        <v>26</v>
      </c>
      <c r="I346" t="s">
        <v>1459</v>
      </c>
      <c r="J346" t="s">
        <v>1460</v>
      </c>
      <c r="K346" t="s">
        <v>1461</v>
      </c>
      <c r="L346" s="6" t="s">
        <v>1804</v>
      </c>
      <c r="M346" t="str">
        <f t="shared" si="5"/>
        <v>DICKSON.NIMA@BBVA.COM,monitoreocgr1.pe@bbva.com</v>
      </c>
    </row>
    <row r="347" spans="1:13" x14ac:dyDescent="0.25">
      <c r="A347" s="1">
        <v>256</v>
      </c>
      <c r="B347" s="1">
        <v>256</v>
      </c>
      <c r="C347" t="s">
        <v>1462</v>
      </c>
      <c r="D347" t="s">
        <v>70</v>
      </c>
      <c r="E347" t="s">
        <v>71</v>
      </c>
      <c r="F347" t="s">
        <v>24</v>
      </c>
      <c r="G347" t="s">
        <v>25</v>
      </c>
      <c r="H347" t="s">
        <v>26</v>
      </c>
      <c r="I347" t="s">
        <v>1463</v>
      </c>
      <c r="J347" t="s">
        <v>1464</v>
      </c>
      <c r="K347" t="s">
        <v>1465</v>
      </c>
      <c r="L347" s="6" t="s">
        <v>1804</v>
      </c>
      <c r="M347" t="str">
        <f t="shared" si="5"/>
        <v>ELIZABETH.QUISPE@BBVA.COM,monitoreocgr1.pe@bbva.com</v>
      </c>
    </row>
    <row r="348" spans="1:13" hidden="1" x14ac:dyDescent="0.25">
      <c r="A348" s="1">
        <v>609</v>
      </c>
      <c r="B348" s="1">
        <v>609</v>
      </c>
      <c r="C348" t="s">
        <v>1466</v>
      </c>
      <c r="D348" t="s">
        <v>122</v>
      </c>
      <c r="E348" t="s">
        <v>123</v>
      </c>
      <c r="F348" t="s">
        <v>24</v>
      </c>
      <c r="G348" t="s">
        <v>25</v>
      </c>
      <c r="H348" t="s">
        <v>26</v>
      </c>
      <c r="I348" t="s">
        <v>1467</v>
      </c>
      <c r="J348" t="s">
        <v>1468</v>
      </c>
      <c r="K348" t="s">
        <v>1469</v>
      </c>
      <c r="L348" s="6" t="s">
        <v>1804</v>
      </c>
      <c r="M348" t="str">
        <f t="shared" si="5"/>
        <v>THALIA.CHAVEZ@BBVA.COM,monitoreocgr1.pe@bbva.com</v>
      </c>
    </row>
    <row r="349" spans="1:13" x14ac:dyDescent="0.25">
      <c r="A349" s="1">
        <v>105</v>
      </c>
      <c r="B349" s="1">
        <v>105</v>
      </c>
      <c r="C349" t="s">
        <v>1470</v>
      </c>
      <c r="D349" t="s">
        <v>70</v>
      </c>
      <c r="E349" t="s">
        <v>71</v>
      </c>
      <c r="F349" t="s">
        <v>24</v>
      </c>
      <c r="G349" t="s">
        <v>25</v>
      </c>
      <c r="H349" t="s">
        <v>26</v>
      </c>
      <c r="I349" t="s">
        <v>1807</v>
      </c>
      <c r="J349" t="s">
        <v>1806</v>
      </c>
      <c r="K349" s="7" t="s">
        <v>1805</v>
      </c>
      <c r="L349" s="6" t="s">
        <v>1804</v>
      </c>
      <c r="M349" t="str">
        <f t="shared" si="5"/>
        <v>EDUARDO.VALLE@BBVA.COM,monitoreocgr1.pe@bbva.com</v>
      </c>
    </row>
    <row r="350" spans="1:13" hidden="1" x14ac:dyDescent="0.25">
      <c r="A350" s="1">
        <v>849</v>
      </c>
      <c r="B350" s="1">
        <v>849</v>
      </c>
      <c r="C350" t="s">
        <v>1474</v>
      </c>
      <c r="D350" t="s">
        <v>282</v>
      </c>
      <c r="E350" t="s">
        <v>283</v>
      </c>
      <c r="F350" t="s">
        <v>24</v>
      </c>
      <c r="G350" t="s">
        <v>25</v>
      </c>
      <c r="H350" t="s">
        <v>26</v>
      </c>
      <c r="I350" t="s">
        <v>1475</v>
      </c>
      <c r="J350" t="s">
        <v>1476</v>
      </c>
      <c r="K350" t="s">
        <v>1477</v>
      </c>
      <c r="L350" s="6" t="s">
        <v>1804</v>
      </c>
      <c r="M350" t="str">
        <f t="shared" si="5"/>
        <v>BRIZETH.RAMIREZ@BBVA.COM,monitoreocgr1.pe@bbva.com</v>
      </c>
    </row>
    <row r="351" spans="1:13" hidden="1" x14ac:dyDescent="0.25">
      <c r="A351" s="1">
        <v>976</v>
      </c>
      <c r="B351" s="1">
        <v>976</v>
      </c>
      <c r="C351" t="s">
        <v>1478</v>
      </c>
      <c r="D351" t="s">
        <v>40</v>
      </c>
      <c r="E351" t="s">
        <v>41</v>
      </c>
      <c r="F351" t="s">
        <v>24</v>
      </c>
      <c r="G351" t="s">
        <v>25</v>
      </c>
      <c r="H351" t="s">
        <v>26</v>
      </c>
      <c r="I351" t="s">
        <v>1479</v>
      </c>
      <c r="J351" t="s">
        <v>1480</v>
      </c>
      <c r="K351" t="s">
        <v>1481</v>
      </c>
      <c r="L351" s="6" t="s">
        <v>1804</v>
      </c>
      <c r="M351" t="str">
        <f t="shared" si="5"/>
        <v>YASMINE.CONTRERAS@BBVA.COM,monitoreocgr1.pe@bbva.com</v>
      </c>
    </row>
    <row r="352" spans="1:13" hidden="1" x14ac:dyDescent="0.25">
      <c r="A352" s="1">
        <v>356</v>
      </c>
      <c r="B352" s="1">
        <v>356</v>
      </c>
      <c r="C352" t="s">
        <v>1482</v>
      </c>
      <c r="D352" t="s">
        <v>94</v>
      </c>
      <c r="E352" t="s">
        <v>95</v>
      </c>
      <c r="F352" t="s">
        <v>24</v>
      </c>
      <c r="G352" t="s">
        <v>25</v>
      </c>
      <c r="H352" t="s">
        <v>26</v>
      </c>
      <c r="I352" t="s">
        <v>1483</v>
      </c>
      <c r="J352" t="s">
        <v>1484</v>
      </c>
      <c r="K352" t="s">
        <v>1485</v>
      </c>
      <c r="L352" s="6" t="s">
        <v>1804</v>
      </c>
      <c r="M352" t="str">
        <f t="shared" si="5"/>
        <v>GRETELL.MORENO@BBVA.COM,monitoreocgr1.pe@bbva.com</v>
      </c>
    </row>
    <row r="353" spans="1:13" x14ac:dyDescent="0.25">
      <c r="A353" s="1">
        <v>242</v>
      </c>
      <c r="B353" s="1">
        <v>242</v>
      </c>
      <c r="C353" t="s">
        <v>1486</v>
      </c>
      <c r="D353" t="s">
        <v>70</v>
      </c>
      <c r="E353" t="s">
        <v>71</v>
      </c>
      <c r="F353" t="s">
        <v>24</v>
      </c>
      <c r="G353" t="s">
        <v>25</v>
      </c>
      <c r="H353" t="s">
        <v>26</v>
      </c>
      <c r="I353" t="s">
        <v>1487</v>
      </c>
      <c r="J353" t="s">
        <v>1488</v>
      </c>
      <c r="K353" t="s">
        <v>1489</v>
      </c>
      <c r="L353" s="6" t="s">
        <v>1804</v>
      </c>
      <c r="M353" t="str">
        <f t="shared" si="5"/>
        <v>FIORELA.ORTEGA@BBVA.COM,monitoreocgr1.pe@bbva.com</v>
      </c>
    </row>
    <row r="354" spans="1:13" x14ac:dyDescent="0.25">
      <c r="A354" s="1">
        <v>832</v>
      </c>
      <c r="B354" s="1">
        <v>832</v>
      </c>
      <c r="C354" t="s">
        <v>1490</v>
      </c>
      <c r="D354" t="s">
        <v>70</v>
      </c>
      <c r="E354" t="s">
        <v>71</v>
      </c>
      <c r="F354" t="s">
        <v>24</v>
      </c>
      <c r="G354" t="s">
        <v>25</v>
      </c>
      <c r="H354" t="s">
        <v>26</v>
      </c>
      <c r="I354" t="s">
        <v>1491</v>
      </c>
      <c r="J354" t="s">
        <v>1492</v>
      </c>
      <c r="K354" t="s">
        <v>1493</v>
      </c>
      <c r="L354" s="6" t="s">
        <v>1804</v>
      </c>
      <c r="M354" t="str">
        <f t="shared" si="5"/>
        <v>NATHALY.CASTRO@BBVA.COM,monitoreocgr1.pe@bbva.com</v>
      </c>
    </row>
    <row r="355" spans="1:13" hidden="1" x14ac:dyDescent="0.25">
      <c r="A355" s="1">
        <v>648</v>
      </c>
      <c r="B355" s="1">
        <v>648</v>
      </c>
      <c r="C355" t="s">
        <v>1494</v>
      </c>
      <c r="D355" t="s">
        <v>254</v>
      </c>
      <c r="E355" t="s">
        <v>312</v>
      </c>
      <c r="F355" t="s">
        <v>24</v>
      </c>
      <c r="G355" t="s">
        <v>25</v>
      </c>
      <c r="H355" t="s">
        <v>26</v>
      </c>
      <c r="I355" t="s">
        <v>1495</v>
      </c>
      <c r="J355" t="s">
        <v>1496</v>
      </c>
      <c r="K355" t="s">
        <v>1497</v>
      </c>
      <c r="L355" s="6" t="s">
        <v>1804</v>
      </c>
      <c r="M355" t="str">
        <f t="shared" si="5"/>
        <v>DIEGO.CHAVEZ.CARRERA@BBVA.COM,monitoreocgr1.pe@bbva.com</v>
      </c>
    </row>
  </sheetData>
  <autoFilter ref="E1:E355">
    <filterColumn colId="0">
      <filters>
        <filter val="Lima Centro"/>
      </filters>
    </filterColumn>
  </autoFilter>
  <hyperlinks>
    <hyperlink ref="L2" r:id="rId1"/>
    <hyperlink ref="L3:L355" r:id="rId2" display="monitoreocgr1.pe@bbva.com"/>
    <hyperlink ref="K34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REPORTE</vt:lpstr>
      <vt:lpstr>SN-EX</vt:lpstr>
      <vt:lpstr>EXCEDIDO</vt:lpstr>
      <vt:lpstr>PREVENTIVA</vt:lpstr>
      <vt:lpstr>RRHH</vt:lpstr>
      <vt:lpstr>RRHH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KENIA MARIEL ROSAS SOSA</cp:lastModifiedBy>
  <dcterms:created xsi:type="dcterms:W3CDTF">2015-06-05T18:19:34Z</dcterms:created>
  <dcterms:modified xsi:type="dcterms:W3CDTF">2020-10-14T18:46:24Z</dcterms:modified>
</cp:coreProperties>
</file>