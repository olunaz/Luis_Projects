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yectos\Proyectos_Personales\Luis_Projects\Formato_VisaNuevo\"/>
    </mc:Choice>
  </mc:AlternateContent>
  <xr:revisionPtr revIDLastSave="0" documentId="13_ncr:1_{39AAC0B3-F6A9-4BD2-A5FE-BC430C77D718}" xr6:coauthVersionLast="46" xr6:coauthVersionMax="46" xr10:uidLastSave="{00000000-0000-0000-0000-000000000000}"/>
  <bookViews>
    <workbookView xWindow="710" yWindow="1080" windowWidth="19200" windowHeight="10060" firstSheet="6" activeTab="7" xr2:uid="{00000000-000D-0000-FFFF-FFFF00000000}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CCLS-CH" sheetId="416" r:id="rId12"/>
    <sheet name="VISA_GOLD" sheetId="56" r:id="rId13"/>
    <sheet name="VISA_GOLD-TxT" sheetId="57" r:id="rId14"/>
    <sheet name="VISA_GOLD-CH" sheetId="417" r:id="rId15"/>
    <sheet name="VISA_CBSN" sheetId="58" r:id="rId16"/>
    <sheet name="VISA_CBSN-TxT" sheetId="59" r:id="rId17"/>
    <sheet name="VISA_CBSN-CH" sheetId="418" r:id="rId18"/>
    <sheet name="VISA_CORP" sheetId="75" r:id="rId19"/>
    <sheet name="VISA_CORP-TxT" sheetId="76" r:id="rId20"/>
    <sheet name="VISA_CORP-CH" sheetId="419" r:id="rId21"/>
    <sheet name="VISA_PLAT" sheetId="82" r:id="rId22"/>
    <sheet name="VISA_PLAT-TxT" sheetId="83" r:id="rId23"/>
    <sheet name="VISA_PLAT-CH" sheetId="420" r:id="rId24"/>
    <sheet name="VISA_SIG" sheetId="89" r:id="rId25"/>
    <sheet name="VISA_SIG-TxT" sheetId="90" r:id="rId26"/>
    <sheet name="VISA_SIG-CH" sheetId="421" r:id="rId27"/>
    <sheet name="VISA_CTA" sheetId="96" r:id="rId28"/>
    <sheet name="VISA_CTA-TxT" sheetId="97" r:id="rId29"/>
    <sheet name="VISA_CTA-CH" sheetId="422" r:id="rId30"/>
    <sheet name="VISA_INF" sheetId="98" r:id="rId31"/>
    <sheet name="VISA_INF-TxT" sheetId="99" r:id="rId32"/>
    <sheet name="VISA_INF-CH" sheetId="423" r:id="rId33"/>
    <sheet name="VISA_DBSN" sheetId="118" r:id="rId34"/>
    <sheet name="VISA_DBSN-TxT" sheetId="119" r:id="rId35"/>
    <sheet name="VISA_DBSN-CH" sheetId="424" r:id="rId36"/>
    <sheet name="VISA_UCLSD" sheetId="129" r:id="rId37"/>
    <sheet name="VISA_UCLSD-TxT" sheetId="130" r:id="rId38"/>
    <sheet name="VISA_UCLSD-CH" sheetId="425" r:id="rId39"/>
    <sheet name="VISA_GIFT" sheetId="131" r:id="rId40"/>
    <sheet name="VISA_GIFT-TxT" sheetId="132" r:id="rId41"/>
    <sheet name="VISA_GIFT-CH" sheetId="426" r:id="rId42"/>
    <sheet name="Valores_Adquirientes" sheetId="414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414" l="1"/>
  <c r="K19" i="414" l="1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<sst xmlns="http://schemas.openxmlformats.org/spreadsheetml/2006/main" count="6307" uniqueCount="816">
  <si>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</si>
  <si>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</si>
  <si>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</si>
  <si>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</si>
  <si>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</si>
  <si>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</si>
  <si>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</si>
  <si>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</si>
  <si>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</si>
  <si>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</si>
  <si>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</si>
  <si>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</si>
  <si>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</si>
  <si>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</si>
  <si>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</si>
  <si>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</si>
  <si>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</si>
  <si>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</si>
  <si>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</si>
  <si>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</si>
  <si>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</si>
  <si>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</si>
  <si>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</si>
  <si>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</si>
  <si>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</si>
  <si>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</si>
  <si>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</si>
  <si>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</si>
  <si>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</si>
  <si>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</si>
  <si>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</si>
  <si>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</si>
  <si>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</si>
  <si>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</si>
  <si>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</si>
  <si>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</si>
  <si>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</si>
  <si>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</si>
  <si>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</si>
  <si>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</si>
  <si>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</si>
  <si>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</si>
  <si>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</si>
  <si>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</si>
  <si>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</si>
  <si>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</si>
  <si>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</si>
  <si>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</si>
  <si>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</si>
  <si>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</si>
  <si>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</si>
  <si>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</si>
  <si>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</si>
  <si>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</si>
  <si>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</si>
  <si>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</si>
  <si>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</si>
  <si>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</si>
  <si>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</si>
  <si>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</si>
  <si>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</si>
  <si>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</si>
  <si>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</si>
  <si>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</si>
  <si>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</si>
  <si>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</si>
  <si>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</si>
  <si>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</si>
  <si>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</si>
  <si>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</si>
  <si>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</si>
  <si>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</si>
  <si>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</si>
  <si>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</si>
  <si>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</si>
  <si>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</si>
  <si>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</si>
  <si>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</si>
  <si>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</si>
  <si>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</si>
  <si>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</si>
  <si>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</si>
  <si>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</si>
  <si>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</si>
  <si>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</si>
  <si>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</si>
  <si>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</si>
  <si>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</si>
  <si>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</si>
  <si>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</si>
  <si>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</si>
  <si>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</si>
  <si>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</si>
  <si>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</si>
  <si>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</si>
  <si>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</si>
  <si>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</si>
  <si>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</si>
  <si>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</si>
  <si>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</si>
  <si>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</si>
  <si>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</si>
  <si>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</si>
  <si>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</si>
  <si>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</si>
  <si>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</si>
  <si>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</si>
  <si>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</si>
  <si>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</si>
  <si>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</si>
  <si>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</si>
  <si>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</si>
  <si>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</si>
  <si>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</si>
  <si>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</si>
  <si>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</si>
  <si>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</si>
  <si>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</si>
  <si>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</si>
  <si>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</si>
  <si>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</si>
  <si>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</si>
  <si>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</si>
  <si>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</si>
  <si>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</si>
  <si>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</si>
  <si>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</si>
  <si>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</si>
  <si>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</si>
  <si>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</si>
  <si>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</si>
  <si>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</si>
  <si>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</si>
  <si>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</si>
  <si>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</si>
  <si>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</si>
  <si>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</si>
  <si>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</si>
  <si>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</si>
  <si>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</si>
  <si>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</si>
  <si>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</si>
  <si>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</si>
  <si>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</si>
  <si>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</si>
  <si>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</si>
  <si>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</si>
  <si>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</si>
  <si>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</si>
  <si>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</si>
  <si>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</si>
  <si>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</si>
  <si>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</si>
  <si>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</si>
  <si>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</si>
  <si>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</si>
  <si>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</si>
  <si>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</si>
  <si>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</si>
  <si>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</si>
  <si>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</si>
  <si>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</si>
  <si>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</si>
  <si>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</si>
  <si>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</si>
  <si>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</si>
  <si>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</si>
  <si>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</si>
  <si>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</si>
  <si>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</si>
  <si>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</si>
  <si>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</si>
  <si>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</si>
  <si>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</si>
  <si>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</si>
  <si>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</si>
  <si>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</si>
  <si>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</si>
  <si>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</si>
  <si>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</si>
  <si>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</si>
  <si>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</si>
  <si>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</si>
  <si>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</si>
  <si>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</si>
  <si>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</si>
  <si>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</si>
  <si>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</si>
  <si>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</si>
  <si>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</si>
  <si>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</si>
  <si>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</si>
  <si>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</si>
  <si>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</si>
  <si>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</si>
  <si>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</si>
  <si>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</si>
  <si>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</si>
  <si>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</si>
  <si>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</si>
  <si>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</si>
  <si>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</si>
  <si>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</si>
  <si>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</si>
  <si>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</si>
  <si>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</si>
  <si>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</si>
  <si>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</si>
  <si>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</si>
  <si>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</si>
  <si>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</si>
  <si>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</si>
  <si>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</si>
  <si>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</si>
  <si>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</si>
  <si>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</si>
  <si>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</si>
  <si>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</si>
  <si>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</si>
  <si>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</si>
  <si>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</si>
  <si>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</si>
  <si>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</si>
  <si>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</si>
  <si>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</si>
  <si>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</si>
  <si>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</si>
  <si>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</si>
  <si>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</si>
  <si>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</si>
  <si>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</si>
  <si>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</si>
  <si>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</si>
  <si>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</si>
  <si>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</si>
  <si>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</si>
  <si>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</si>
  <si>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</si>
  <si>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</si>
  <si>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</si>
  <si>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</si>
  <si>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</si>
  <si>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</si>
  <si>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</si>
  <si>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</si>
  <si>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</si>
  <si>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</si>
  <si>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</si>
  <si>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</si>
  <si>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</si>
  <si>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</si>
  <si>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</si>
  <si>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</si>
  <si>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</si>
  <si>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</si>
  <si>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</si>
  <si>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</si>
  <si>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</si>
  <si>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</si>
  <si>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</si>
  <si>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</si>
  <si>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</si>
  <si>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</si>
  <si>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</si>
  <si>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</si>
  <si>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</si>
  <si>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</si>
  <si>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</si>
  <si>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</si>
  <si>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</si>
  <si>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</si>
  <si>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</si>
  <si>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</si>
  <si>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</si>
  <si>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</si>
  <si>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</si>
  <si>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</si>
  <si>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</si>
  <si>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</si>
  <si>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</si>
  <si>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</si>
  <si>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</si>
  <si>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</si>
  <si>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</si>
  <si>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</si>
  <si>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</si>
  <si>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</si>
  <si>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</si>
  <si>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</si>
  <si>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</si>
  <si>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</si>
  <si>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</si>
  <si>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</si>
  <si>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</si>
  <si>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</si>
  <si>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</si>
  <si>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</si>
  <si>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</si>
  <si>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</si>
  <si>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</si>
  <si>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</si>
  <si>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</si>
  <si>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</si>
  <si>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</si>
  <si>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</si>
  <si>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</si>
  <si>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</si>
  <si>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</si>
  <si>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</si>
  <si>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</si>
  <si>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</si>
  <si>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</si>
  <si>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</si>
  <si>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</si>
  <si>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</si>
  <si>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</si>
  <si>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</si>
  <si>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</si>
  <si>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</si>
  <si>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</si>
  <si>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</si>
  <si>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</si>
  <si>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</si>
  <si>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</si>
  <si>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</si>
  <si>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</si>
  <si>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</si>
  <si>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</si>
  <si>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</si>
  <si>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</si>
  <si>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</si>
  <si>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</si>
  <si>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</si>
  <si>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</si>
  <si>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</si>
  <si>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</si>
  <si>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</si>
  <si>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</si>
  <si>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</si>
  <si>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</si>
  <si>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</si>
  <si>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</si>
  <si>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</si>
  <si>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</si>
  <si>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</si>
  <si>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</si>
  <si>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</si>
  <si>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</si>
  <si>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</si>
  <si>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</si>
  <si>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</si>
  <si>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</si>
  <si>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</si>
  <si>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</si>
  <si>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</si>
  <si>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</si>
  <si>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</si>
  <si>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</si>
  <si>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</si>
  <si>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</si>
  <si>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</si>
  <si>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</si>
  <si>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</si>
  <si>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</si>
  <si>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</si>
  <si>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</si>
  <si>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</si>
  <si>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</si>
  <si>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</si>
  <si>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</si>
  <si>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</si>
  <si>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</si>
  <si>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</si>
  <si>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</si>
  <si>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</si>
  <si>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</si>
  <si>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</si>
  <si>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</si>
  <si>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</si>
  <si>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</si>
  <si>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</si>
  <si>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</si>
  <si>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</si>
  <si>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</si>
  <si>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</si>
  <si>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</si>
  <si>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</si>
  <si>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</si>
  <si>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</si>
  <si>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</si>
  <si>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</si>
  <si>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</si>
  <si>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</si>
  <si>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</si>
  <si>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</si>
  <si>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</si>
  <si>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</si>
  <si>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</si>
  <si>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</si>
  <si>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</si>
  <si>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</si>
  <si>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</si>
  <si>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</si>
  <si>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</si>
  <si>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</si>
  <si>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</si>
  <si>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</si>
  <si>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</si>
  <si>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</si>
  <si>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</si>
  <si>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</si>
  <si>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</si>
  <si>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</si>
  <si>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</si>
  <si>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</si>
  <si>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</si>
  <si>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</si>
  <si>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</si>
  <si>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</si>
  <si>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</si>
  <si>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</si>
  <si>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</si>
  <si>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</si>
  <si>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</si>
  <si>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</si>
  <si>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</si>
  <si>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</si>
  <si>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</si>
  <si>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</si>
  <si>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</si>
  <si>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</si>
  <si>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</si>
  <si>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</si>
  <si>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</si>
  <si>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</si>
  <si>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</si>
  <si>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</si>
  <si>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</si>
  <si>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</si>
  <si>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</si>
  <si>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</si>
  <si>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</si>
  <si>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</si>
  <si>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</si>
  <si>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</si>
  <si>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</si>
  <si>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</si>
  <si>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</si>
  <si>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</si>
  <si>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</si>
  <si>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</si>
  <si>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</si>
  <si>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</si>
  <si>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</si>
  <si>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</si>
  <si>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</si>
  <si>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</si>
  <si>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</si>
  <si>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</si>
  <si>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</si>
  <si>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</si>
  <si>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</si>
  <si>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</si>
  <si>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</si>
  <si>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</si>
  <si>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</si>
  <si>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</si>
  <si>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</si>
  <si>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</si>
  <si>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</si>
  <si>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</si>
  <si>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</si>
  <si>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</si>
  <si>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</si>
  <si>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</si>
  <si>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</si>
  <si>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</si>
  <si>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</si>
  <si>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</si>
  <si>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</si>
  <si>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</si>
  <si>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</si>
  <si>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</si>
  <si>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</si>
  <si>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</si>
  <si>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</si>
  <si>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</si>
  <si>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</si>
  <si>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</si>
  <si>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</si>
  <si>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</si>
  <si>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</si>
  <si>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</si>
  <si>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</si>
  <si>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</si>
  <si>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</si>
  <si>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</si>
  <si>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</si>
  <si>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</si>
  <si>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</si>
  <si>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</si>
  <si>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</si>
  <si>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</si>
  <si>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</si>
  <si>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</si>
  <si>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</si>
  <si>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</si>
  <si>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</si>
  <si>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</si>
  <si>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</si>
  <si>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</si>
  <si>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</si>
  <si>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</si>
  <si>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</si>
  <si>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</si>
  <si>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</si>
  <si>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</si>
  <si>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</si>
  <si>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</si>
  <si>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</si>
  <si>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</si>
  <si>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</si>
  <si>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</si>
  <si>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</si>
  <si>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</si>
  <si>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</si>
  <si>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</si>
  <si>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</si>
  <si>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</si>
  <si>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</si>
  <si>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</si>
  <si>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</si>
  <si>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</si>
  <si>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</si>
  <si>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</si>
  <si>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</si>
  <si>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</si>
  <si>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</si>
  <si>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</si>
  <si>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</si>
  <si>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</si>
  <si>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</si>
  <si>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</si>
  <si>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</si>
  <si>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</si>
  <si>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</si>
  <si>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</si>
  <si>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</si>
  <si>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</si>
  <si>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</si>
  <si>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</si>
  <si>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</si>
  <si>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</si>
  <si>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</si>
  <si>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</si>
  <si>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</si>
  <si>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</si>
  <si>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</si>
  <si>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</si>
  <si>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</si>
  <si>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</si>
  <si>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</si>
  <si>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</si>
  <si>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</si>
  <si>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</si>
  <si>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</si>
  <si>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</si>
  <si>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</si>
  <si>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</si>
  <si>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</si>
  <si>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</si>
  <si>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</si>
  <si>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</si>
  <si>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</si>
  <si>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</si>
  <si>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</si>
  <si>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</si>
  <si>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</si>
  <si>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</si>
  <si>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</si>
  <si>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</si>
  <si>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</si>
  <si>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</si>
  <si>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</si>
  <si>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</si>
  <si>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</si>
  <si>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</si>
  <si>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</si>
  <si>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</si>
  <si>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</si>
  <si>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</si>
  <si>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</si>
  <si>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</si>
  <si>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</si>
  <si>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</si>
  <si>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</si>
  <si>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</si>
  <si>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</si>
  <si>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</si>
  <si>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</si>
  <si>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</si>
  <si>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</si>
  <si>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</si>
  <si>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</si>
  <si>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</si>
  <si>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</si>
  <si>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</si>
  <si>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</si>
  <si>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</si>
  <si>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</si>
  <si>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</si>
  <si>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</si>
  <si>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</si>
  <si>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</si>
  <si>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</si>
  <si>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</si>
  <si>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</si>
  <si>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</si>
  <si>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</si>
  <si>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</si>
  <si>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</si>
  <si>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</si>
  <si>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</si>
  <si>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</si>
  <si>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</si>
  <si>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</si>
  <si>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</si>
  <si>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</si>
  <si>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</si>
  <si>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</si>
  <si>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</si>
  <si>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</si>
  <si>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</si>
  <si>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</si>
  <si>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</si>
  <si>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</si>
  <si>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</si>
  <si>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</si>
  <si>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</si>
  <si>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</si>
  <si>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</si>
  <si>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</si>
  <si>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</si>
  <si>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</si>
  <si>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</si>
  <si>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</si>
  <si>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</si>
  <si>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</si>
  <si>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</si>
  <si>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</si>
  <si>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</si>
  <si>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</si>
  <si>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</si>
  <si>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</si>
  <si>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</si>
  <si>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</si>
  <si>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</si>
  <si>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</si>
  <si>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</si>
  <si>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</si>
  <si>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</si>
  <si>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</si>
  <si>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</si>
  <si>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</si>
  <si>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</si>
  <si>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</si>
  <si>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</si>
  <si>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</si>
  <si>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</si>
  <si>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</si>
  <si>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</si>
  <si>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</si>
  <si>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</si>
  <si>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</si>
  <si>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</si>
  <si>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</si>
  <si>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</si>
  <si>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</si>
  <si>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</si>
  <si>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</si>
  <si>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</si>
  <si>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</si>
  <si>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</si>
  <si>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</si>
  <si>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</si>
  <si>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</si>
  <si>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</si>
  <si>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</si>
  <si>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</si>
  <si>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</si>
  <si>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</si>
  <si>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</si>
  <si>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</si>
  <si>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</si>
  <si>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</si>
  <si>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</si>
  <si>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</si>
  <si>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</si>
  <si>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</si>
  <si>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</si>
  <si>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</si>
  <si>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</si>
  <si>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</si>
  <si>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</si>
  <si>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</si>
  <si>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</si>
  <si>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</si>
  <si>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</si>
  <si>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</si>
  <si>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</si>
  <si>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</si>
  <si>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</si>
  <si>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</si>
  <si>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</si>
  <si>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</si>
  <si>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</si>
  <si>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</si>
  <si>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</si>
  <si>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</si>
  <si>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</si>
  <si>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</si>
  <si>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</si>
  <si>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</si>
  <si>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</si>
  <si>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</si>
  <si>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</si>
  <si>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</si>
  <si>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</si>
  <si>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</si>
  <si>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</si>
  <si>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</si>
  <si>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</si>
  <si>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</si>
  <si>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</si>
  <si>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</si>
  <si>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</si>
  <si>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</si>
  <si>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</si>
  <si>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</si>
  <si>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</si>
  <si>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</si>
  <si>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</si>
  <si>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</si>
  <si>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</si>
  <si>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</si>
  <si>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</si>
  <si>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</si>
  <si>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</si>
  <si>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</si>
  <si>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</si>
  <si>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</si>
  <si>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</si>
  <si>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</si>
  <si>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</si>
  <si>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</si>
  <si>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</si>
  <si>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</si>
  <si>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</si>
  <si>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</si>
  <si>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</si>
  <si>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</si>
  <si>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</si>
  <si>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</si>
  <si>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</si>
  <si>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</si>
  <si>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</si>
  <si>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</si>
  <si>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</si>
  <si>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</si>
  <si>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</si>
  <si>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</si>
  <si>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</si>
  <si>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</si>
  <si>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</si>
  <si>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</si>
  <si>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</si>
  <si>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</si>
  <si>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</si>
  <si>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</si>
  <si>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</si>
  <si>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</si>
  <si>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</si>
  <si>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</si>
  <si>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</si>
  <si>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</si>
  <si>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</si>
  <si>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</si>
  <si>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</si>
  <si>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</si>
  <si>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</si>
  <si>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</si>
  <si>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</si>
  <si>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</si>
  <si>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</si>
  <si>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</si>
  <si>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</si>
  <si>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</si>
  <si>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</si>
  <si>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</si>
  <si>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</si>
  <si>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</si>
  <si>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</si>
  <si>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</si>
  <si>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</si>
  <si>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</si>
  <si>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</si>
  <si>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</si>
  <si>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</si>
  <si>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</si>
  <si>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</si>
  <si>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</si>
  <si>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</si>
  <si>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</si>
  <si>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</si>
  <si>
    <t>3. Luego de haber realizado, presionar el boton transferir reporte y seleccionar la Plantilla</t>
  </si>
  <si>
    <t>20204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</si>
</sst>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8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left" vertical="center" wrapText="1" shrinkToFit="1"/>
    </xf>
    <xf numFmtId="49" fontId="20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left" vertical="center" wrapText="1" shrinkToFit="1"/>
    </xf>
    <xf numFmtId="49" fontId="17" fillId="14" borderId="9" xfId="0" applyNumberFormat="1" applyFont="1" applyFill="1" applyBorder="1" applyAlignment="1">
      <alignment horizontal="left" vertical="center" wrapText="1"/>
    </xf>
    <xf numFmtId="49" fontId="19" fillId="14" borderId="0" xfId="0" applyNumberFormat="1" applyFont="1" applyFill="1" applyBorder="1" applyAlignment="1">
      <alignment horizontal="left" vertical="center" wrapText="1"/>
    </xf>
    <xf numFmtId="0" fontId="20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0" fontId="29" fillId="3" borderId="0" xfId="0" applyFont="1" applyFill="1"/>
    <xf numFmtId="0" fontId="27" fillId="3" borderId="0" xfId="0" applyFont="1" applyFill="1"/>
    <xf numFmtId="0" fontId="12" fillId="3" borderId="0" xfId="0" applyFont="1" applyFill="1"/>
    <xf numFmtId="0" fontId="10" fillId="3" borderId="0" xfId="0" applyFont="1" applyFill="1"/>
    <xf numFmtId="0" fontId="0" fillId="0" borderId="0" xfId="0" applyFont="1"/>
    <xf numFmtId="2" fontId="0" fillId="0" borderId="0" xfId="0" applyNumberFormat="1"/>
    <xf numFmtId="49" fontId="4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21" fillId="3" borderId="0" xfId="0" applyFont="1" applyFill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0" fillId="3" borderId="0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28" fillId="4" borderId="17" xfId="0" applyFont="1" applyFill="1" applyBorder="1" applyAlignment="1">
      <alignment horizontal="center" vertical="center"/>
    </xf>
    <xf numFmtId="0" fontId="28" fillId="4" borderId="18" xfId="0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" vertical="center"/>
    </xf>
    <xf numFmtId="0" fontId="28" fillId="4" borderId="20" xfId="0" applyFont="1" applyFill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</cellXfs>
  <cellStyles count="4">
    <cellStyle name="Millares" xfId="1" builtinId="3"/>
    <cellStyle name="Millares 2" xfId="3" xr:uid="{00000000-0005-0000-0000-000001000000}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99060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11</xdr:row>
          <xdr:rowOff>19050</xdr:rowOff>
        </xdr:from>
        <xdr:to>
          <xdr:col>5</xdr:col>
          <xdr:colOff>742950</xdr:colOff>
          <xdr:row>13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18</xdr:row>
          <xdr:rowOff>19050</xdr:rowOff>
        </xdr:from>
        <xdr:to>
          <xdr:col>5</xdr:col>
          <xdr:colOff>742950</xdr:colOff>
          <xdr:row>20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Transferir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22861</xdr:rowOff>
    </xdr:from>
    <xdr:ext cx="2392680" cy="55626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0</xdr:row>
      <xdr:rowOff>0</xdr:rowOff>
    </xdr:from>
    <xdr:ext cx="1493520" cy="613336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2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2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Y17"/>
  <sheetViews>
    <sheetView workbookViewId="0">
      <selection activeCell="J18" sqref="J18"/>
    </sheetView>
  </sheetViews>
  <sheetFormatPr baseColWidth="10" defaultColWidth="11.453125" defaultRowHeight="14.5" x14ac:dyDescent="0.35"/>
  <cols>
    <col min="1" max="1" width="5.54296875" customWidth="1"/>
    <col min="2" max="5" width="12.453125" customWidth="1"/>
    <col min="6" max="25" width="11.54296875" customWidth="1"/>
    <col min="26" max="92" width="11.1796875" customWidth="1"/>
  </cols>
  <sheetData>
    <row r="1" spans="1:103" s="30" customFormat="1" ht="7.9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ht="15.5" x14ac:dyDescent="0.35">
      <c r="D9" s="133" t="s">
        <v>322</v>
      </c>
      <c r="E9" s="134"/>
      <c r="F9" s="134"/>
      <c r="G9" s="134"/>
      <c r="H9" s="134"/>
      <c r="I9" s="5"/>
    </row>
    <row r="11" spans="1:103" x14ac:dyDescent="0.35">
      <c r="D11" t="s">
        <v>318</v>
      </c>
    </row>
    <row r="15" spans="1:103" x14ac:dyDescent="0.35">
      <c r="E15" t="s">
        <v>317</v>
      </c>
    </row>
    <row r="17" spans="4:4" x14ac:dyDescent="0.35">
      <c r="D17" t="s">
        <v>814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31750</xdr:colOff>
                    <xdr:row>11</xdr:row>
                    <xdr:rowOff>19050</xdr:rowOff>
                  </from>
                  <to>
                    <xdr:col>5</xdr:col>
                    <xdr:colOff>742950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DataVisa">
                <anchor moveWithCells="1">
                  <from>
                    <xdr:col>4</xdr:col>
                    <xdr:colOff>31750</xdr:colOff>
                    <xdr:row>18</xdr:row>
                    <xdr:rowOff>19050</xdr:rowOff>
                  </from>
                  <to>
                    <xdr:col>5</xdr:col>
                    <xdr:colOff>742950</xdr:colOff>
                    <xdr:row>20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137"/>
  <sheetViews>
    <sheetView workbookViewId="0">
      <selection activeCell="D29" sqref="D29"/>
    </sheetView>
  </sheetViews>
  <sheetFormatPr baseColWidth="10" defaultRowHeight="14.5" x14ac:dyDescent="0.35"/>
  <cols>
    <col min="1" max="1" width="5.54296875" style="2" bestFit="1" customWidth="1"/>
    <col min="2" max="2" width="5" style="2" bestFit="1" customWidth="1"/>
    <col min="3" max="3" width="5.7265625" style="2" bestFit="1" customWidth="1"/>
    <col min="4" max="4" width="24.453125" bestFit="1" customWidth="1"/>
    <col min="5" max="5" width="37.81640625" bestFit="1" customWidth="1"/>
    <col min="6" max="6" width="11.26953125" style="19" bestFit="1" customWidth="1"/>
    <col min="7" max="7" width="4.54296875" customWidth="1"/>
    <col min="8" max="8" width="5.54296875" style="2" bestFit="1" customWidth="1"/>
    <col min="9" max="9" width="5" style="80" bestFit="1" customWidth="1"/>
    <col min="10" max="10" width="11.26953125" style="2" bestFit="1" customWidth="1"/>
    <col min="11" max="11" width="5.7265625" style="2" bestFit="1" customWidth="1"/>
    <col min="12" max="12" width="11.54296875" style="81"/>
    <col min="13" max="13" width="24.453125" bestFit="1" customWidth="1"/>
    <col min="14" max="14" width="18.453125" style="81" bestFit="1" customWidth="1"/>
  </cols>
  <sheetData>
    <row r="1" spans="1:14" x14ac:dyDescent="0.35">
      <c r="A1" s="141" t="s">
        <v>77</v>
      </c>
      <c r="B1" s="141"/>
      <c r="C1" s="141"/>
      <c r="D1" s="141"/>
      <c r="E1" s="141"/>
      <c r="F1" s="141"/>
      <c r="H1" s="141" t="s">
        <v>78</v>
      </c>
      <c r="I1" s="141"/>
      <c r="J1" s="141"/>
      <c r="K1" s="141"/>
      <c r="L1" s="141"/>
      <c r="M1" s="141"/>
      <c r="N1" s="141"/>
    </row>
    <row r="2" spans="1:14" x14ac:dyDescent="0.35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5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5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5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5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5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5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5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5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5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5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5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5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5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5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5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5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5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5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5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5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5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5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5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5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5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5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5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5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5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5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5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5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5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5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5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5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5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5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5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5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5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5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5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5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5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5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5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5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5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5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5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5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5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5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5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5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5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5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5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5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5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5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5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5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5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5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5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5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5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5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5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5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5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5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5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5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5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5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5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5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5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5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5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5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5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5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5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5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5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5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5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5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5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5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5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5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5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5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5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5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5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5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5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5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5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5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5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5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5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5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5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5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5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5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5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5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5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5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5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5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5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5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5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5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5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5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5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5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5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5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5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5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5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5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5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20"/>
  <sheetViews>
    <sheetView workbookViewId="0">
      <selection activeCell="F32" sqref="F32"/>
    </sheetView>
  </sheetViews>
  <sheetFormatPr baseColWidth="10" defaultRowHeight="14.5" x14ac:dyDescent="0.35"/>
  <cols>
    <col min="1" max="1" width="44.7265625" customWidth="1"/>
    <col min="2" max="2" width="14.453125" style="2" customWidth="1"/>
    <col min="3" max="3" width="21" customWidth="1"/>
    <col min="4" max="4" width="7.7265625" customWidth="1"/>
    <col min="5" max="5" width="17.453125" bestFit="1" customWidth="1"/>
    <col min="8" max="8" width="3.7265625" customWidth="1"/>
    <col min="9" max="9" width="20.26953125" bestFit="1" customWidth="1"/>
    <col min="10" max="10" width="8.453125" bestFit="1" customWidth="1"/>
  </cols>
  <sheetData>
    <row r="1" spans="1:10" x14ac:dyDescent="0.35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5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5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5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5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5">
      <c r="A6" s="11" t="s">
        <v>20</v>
      </c>
      <c r="B6" s="2" t="s">
        <v>29</v>
      </c>
    </row>
    <row r="7" spans="1:10" x14ac:dyDescent="0.35">
      <c r="A7" s="11" t="s">
        <v>21</v>
      </c>
      <c r="B7" s="2" t="s">
        <v>30</v>
      </c>
    </row>
    <row r="8" spans="1:10" x14ac:dyDescent="0.35">
      <c r="A8" s="12" t="s">
        <v>26</v>
      </c>
      <c r="B8" s="2" t="s">
        <v>36</v>
      </c>
    </row>
    <row r="9" spans="1:10" x14ac:dyDescent="0.35">
      <c r="A9" s="12" t="s">
        <v>319</v>
      </c>
      <c r="B9" s="2" t="s">
        <v>320</v>
      </c>
    </row>
    <row r="10" spans="1:10" x14ac:dyDescent="0.35">
      <c r="A10" s="14" t="s">
        <v>27</v>
      </c>
      <c r="B10" s="2" t="s">
        <v>37</v>
      </c>
    </row>
    <row r="11" spans="1:10" x14ac:dyDescent="0.35">
      <c r="A11" s="14" t="s">
        <v>24</v>
      </c>
      <c r="B11" s="2" t="s">
        <v>32</v>
      </c>
    </row>
    <row r="12" spans="1:10" x14ac:dyDescent="0.35">
      <c r="A12" s="15" t="s">
        <v>22</v>
      </c>
      <c r="B12" s="2" t="s">
        <v>34</v>
      </c>
    </row>
    <row r="13" spans="1:10" x14ac:dyDescent="0.35">
      <c r="A13" s="9"/>
    </row>
    <row r="14" spans="1:10" x14ac:dyDescent="0.35">
      <c r="A14" s="9"/>
    </row>
    <row r="15" spans="1:10" x14ac:dyDescent="0.35">
      <c r="A15" s="9"/>
    </row>
    <row r="16" spans="1:10" x14ac:dyDescent="0.35">
      <c r="A16" s="9"/>
    </row>
    <row r="17" spans="1:3" x14ac:dyDescent="0.35">
      <c r="A17" s="9"/>
      <c r="C17" s="8"/>
    </row>
    <row r="18" spans="1:3" x14ac:dyDescent="0.35">
      <c r="A18" s="9"/>
    </row>
    <row r="19" spans="1:3" x14ac:dyDescent="0.35">
      <c r="A19" s="9"/>
    </row>
    <row r="20" spans="1:3" x14ac:dyDescent="0.35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40"/>
  <dimension ref="A1:J74"/>
  <sheetViews>
    <sheetView workbookViewId="0">
      <selection activeCell="F32" sqref="F32"/>
    </sheetView>
  </sheetViews>
  <sheetFormatPr baseColWidth="10" defaultRowHeight="14.5" x14ac:dyDescent="0.35"/>
  <cols>
    <col min="1" max="1" width="47" customWidth="1"/>
    <col min="2" max="2" width="26.54296875" customWidth="1"/>
    <col min="3" max="3" width="22" customWidth="1"/>
    <col min="10" max="10" width="14" customWidth="1"/>
  </cols>
  <sheetData>
    <row r="1" spans="1:10" x14ac:dyDescent="0.35">
      <c r="A1" s="142" t="s">
        <v>794</v>
      </c>
      <c r="B1" s="142"/>
      <c r="C1" s="142"/>
      <c r="D1" s="142"/>
      <c r="E1" s="142"/>
      <c r="F1" s="142"/>
      <c r="G1" s="142"/>
      <c r="H1" s="142"/>
      <c r="I1" s="142"/>
      <c r="J1" s="142"/>
    </row>
    <row r="2" spans="1:10" x14ac:dyDescent="0.35">
      <c r="A2" s="142"/>
      <c r="B2" s="142"/>
      <c r="C2" s="142"/>
      <c r="D2" s="142"/>
      <c r="E2" s="142"/>
      <c r="F2" s="142"/>
      <c r="G2" s="142"/>
      <c r="H2" s="142"/>
      <c r="I2" s="142"/>
      <c r="J2" s="142"/>
    </row>
    <row r="3" spans="1:10" ht="15" thickBot="1" x14ac:dyDescent="0.4"/>
    <row r="4" spans="1:10" ht="16" thickBot="1" x14ac:dyDescent="0.4">
      <c r="A4" s="125" t="s">
        <v>733</v>
      </c>
      <c r="B4" s="126" t="s">
        <v>218</v>
      </c>
      <c r="C4" s="126" t="s">
        <v>219</v>
      </c>
    </row>
    <row r="5" spans="1:10" ht="15" thickBot="1" x14ac:dyDescent="0.4">
      <c r="A5" s="143" t="s">
        <v>734</v>
      </c>
      <c r="B5" s="144"/>
      <c r="C5" s="145"/>
    </row>
    <row r="6" spans="1:10" ht="15" thickBot="1" x14ac:dyDescent="0.4">
      <c r="A6" s="129" t="s">
        <v>98</v>
      </c>
      <c r="B6" s="127">
        <v>2</v>
      </c>
      <c r="C6" s="127" t="s">
        <v>87</v>
      </c>
    </row>
    <row r="7" spans="1:10" ht="15" thickBot="1" x14ac:dyDescent="0.4">
      <c r="A7" s="129" t="s">
        <v>735</v>
      </c>
      <c r="B7" s="127">
        <v>3</v>
      </c>
      <c r="C7" s="127" t="s">
        <v>87</v>
      </c>
    </row>
    <row r="8" spans="1:10" ht="15" thickBot="1" x14ac:dyDescent="0.4">
      <c r="A8" s="129" t="s">
        <v>321</v>
      </c>
      <c r="B8" s="127">
        <v>9</v>
      </c>
      <c r="C8" s="127" t="s">
        <v>87</v>
      </c>
    </row>
    <row r="9" spans="1:10" ht="15" thickBot="1" x14ac:dyDescent="0.4">
      <c r="A9" s="129" t="s">
        <v>736</v>
      </c>
      <c r="B9" s="127">
        <v>22</v>
      </c>
      <c r="C9" s="127" t="s">
        <v>87</v>
      </c>
    </row>
    <row r="10" spans="1:10" ht="15" thickBot="1" x14ac:dyDescent="0.4">
      <c r="A10" s="129" t="s">
        <v>323</v>
      </c>
      <c r="B10" s="127">
        <v>23</v>
      </c>
      <c r="C10" s="127" t="s">
        <v>87</v>
      </c>
    </row>
    <row r="11" spans="1:10" ht="15" thickBot="1" x14ac:dyDescent="0.4">
      <c r="A11" s="129" t="s">
        <v>324</v>
      </c>
      <c r="B11" s="127">
        <v>32</v>
      </c>
      <c r="C11" s="127" t="s">
        <v>87</v>
      </c>
    </row>
    <row r="12" spans="1:10" ht="15" thickBot="1" x14ac:dyDescent="0.4">
      <c r="A12" s="129" t="s">
        <v>327</v>
      </c>
      <c r="B12" s="127">
        <v>35</v>
      </c>
      <c r="C12" s="127" t="s">
        <v>87</v>
      </c>
    </row>
    <row r="13" spans="1:10" ht="15" thickBot="1" x14ac:dyDescent="0.4">
      <c r="A13" s="129" t="s">
        <v>737</v>
      </c>
      <c r="B13" s="127">
        <v>39</v>
      </c>
      <c r="C13" s="127" t="s">
        <v>87</v>
      </c>
    </row>
    <row r="14" spans="1:10" ht="15" thickBot="1" x14ac:dyDescent="0.4">
      <c r="A14" s="129" t="s">
        <v>738</v>
      </c>
      <c r="B14" s="127">
        <v>40</v>
      </c>
      <c r="C14" s="127" t="s">
        <v>87</v>
      </c>
    </row>
    <row r="15" spans="1:10" ht="15" thickBot="1" x14ac:dyDescent="0.4">
      <c r="A15" s="129" t="s">
        <v>739</v>
      </c>
      <c r="B15" s="127">
        <v>108</v>
      </c>
      <c r="C15" s="127" t="s">
        <v>87</v>
      </c>
    </row>
    <row r="16" spans="1:10" ht="15" thickBot="1" x14ac:dyDescent="0.4">
      <c r="A16" s="129" t="s">
        <v>325</v>
      </c>
      <c r="B16" s="127">
        <v>34</v>
      </c>
      <c r="C16" s="127" t="s">
        <v>87</v>
      </c>
    </row>
    <row r="17" spans="1:3" ht="15" thickBot="1" x14ac:dyDescent="0.4">
      <c r="A17" s="129" t="s">
        <v>740</v>
      </c>
      <c r="B17" s="127">
        <v>53</v>
      </c>
      <c r="C17" s="127" t="s">
        <v>87</v>
      </c>
    </row>
    <row r="18" spans="1:3" ht="15" thickBot="1" x14ac:dyDescent="0.4">
      <c r="A18" s="129" t="s">
        <v>741</v>
      </c>
      <c r="B18" s="127">
        <v>51</v>
      </c>
      <c r="C18" s="127" t="s">
        <v>87</v>
      </c>
    </row>
    <row r="19" spans="1:3" ht="15" thickBot="1" x14ac:dyDescent="0.4">
      <c r="A19" s="129" t="s">
        <v>326</v>
      </c>
      <c r="B19" s="127">
        <v>1005</v>
      </c>
      <c r="C19" s="127" t="s">
        <v>87</v>
      </c>
    </row>
    <row r="20" spans="1:3" ht="15" thickBot="1" x14ac:dyDescent="0.4">
      <c r="A20" s="129" t="s">
        <v>742</v>
      </c>
      <c r="B20" s="127">
        <v>1007</v>
      </c>
      <c r="C20" s="127" t="s">
        <v>87</v>
      </c>
    </row>
    <row r="21" spans="1:3" ht="15" thickBot="1" x14ac:dyDescent="0.4">
      <c r="A21" s="129" t="s">
        <v>743</v>
      </c>
      <c r="B21" s="127">
        <v>1008</v>
      </c>
      <c r="C21" s="127" t="s">
        <v>87</v>
      </c>
    </row>
    <row r="22" spans="1:3" ht="15" thickBot="1" x14ac:dyDescent="0.4">
      <c r="A22" s="129" t="s">
        <v>744</v>
      </c>
      <c r="B22" s="127">
        <v>1009</v>
      </c>
      <c r="C22" s="127" t="s">
        <v>87</v>
      </c>
    </row>
    <row r="23" spans="1:3" ht="15" thickBot="1" x14ac:dyDescent="0.4">
      <c r="A23" s="129" t="s">
        <v>745</v>
      </c>
      <c r="B23" s="127">
        <v>1010</v>
      </c>
      <c r="C23" s="127" t="s">
        <v>87</v>
      </c>
    </row>
    <row r="24" spans="1:3" ht="15" thickBot="1" x14ac:dyDescent="0.4">
      <c r="A24" s="129" t="s">
        <v>746</v>
      </c>
      <c r="B24" s="127">
        <v>1011</v>
      </c>
      <c r="C24" s="127" t="s">
        <v>87</v>
      </c>
    </row>
    <row r="25" spans="1:3" ht="15" thickBot="1" x14ac:dyDescent="0.4">
      <c r="A25" s="129" t="s">
        <v>747</v>
      </c>
      <c r="B25" s="127">
        <v>1012</v>
      </c>
      <c r="C25" s="127" t="s">
        <v>87</v>
      </c>
    </row>
    <row r="26" spans="1:3" ht="15" thickBot="1" x14ac:dyDescent="0.4">
      <c r="A26" s="129" t="s">
        <v>748</v>
      </c>
      <c r="B26" s="127">
        <v>1013</v>
      </c>
      <c r="C26" s="127" t="s">
        <v>87</v>
      </c>
    </row>
    <row r="27" spans="1:3" ht="15" thickBot="1" x14ac:dyDescent="0.4">
      <c r="A27" s="129" t="s">
        <v>749</v>
      </c>
      <c r="B27" s="128">
        <v>1014</v>
      </c>
      <c r="C27" s="127" t="s">
        <v>87</v>
      </c>
    </row>
    <row r="28" spans="1:3" ht="15" thickBot="1" x14ac:dyDescent="0.4">
      <c r="A28" s="129" t="s">
        <v>750</v>
      </c>
      <c r="B28" s="128">
        <v>1017</v>
      </c>
      <c r="C28" s="127" t="s">
        <v>87</v>
      </c>
    </row>
    <row r="29" spans="1:3" ht="15" thickBot="1" x14ac:dyDescent="0.4">
      <c r="A29" s="143" t="s">
        <v>751</v>
      </c>
      <c r="B29" s="144"/>
      <c r="C29" s="145"/>
    </row>
    <row r="30" spans="1:3" ht="15" thickBot="1" x14ac:dyDescent="0.4">
      <c r="A30" s="129" t="s">
        <v>752</v>
      </c>
      <c r="B30" s="127">
        <v>2</v>
      </c>
      <c r="C30" s="127" t="s">
        <v>92</v>
      </c>
    </row>
    <row r="31" spans="1:3" ht="15" thickBot="1" x14ac:dyDescent="0.4">
      <c r="A31" s="129" t="s">
        <v>753</v>
      </c>
      <c r="B31" s="127">
        <v>3</v>
      </c>
      <c r="C31" s="127" t="s">
        <v>92</v>
      </c>
    </row>
    <row r="32" spans="1:3" ht="15" thickBot="1" x14ac:dyDescent="0.4">
      <c r="A32" s="129" t="s">
        <v>754</v>
      </c>
      <c r="B32" s="127">
        <v>4</v>
      </c>
      <c r="C32" s="127" t="s">
        <v>92</v>
      </c>
    </row>
    <row r="33" spans="1:3" ht="15" thickBot="1" x14ac:dyDescent="0.4">
      <c r="A33" s="129" t="s">
        <v>328</v>
      </c>
      <c r="B33" s="127">
        <v>9</v>
      </c>
      <c r="C33" s="127" t="s">
        <v>92</v>
      </c>
    </row>
    <row r="34" spans="1:3" ht="15" thickBot="1" x14ac:dyDescent="0.4">
      <c r="A34" s="129" t="s">
        <v>755</v>
      </c>
      <c r="B34" s="127">
        <v>39</v>
      </c>
      <c r="C34" s="127" t="s">
        <v>92</v>
      </c>
    </row>
    <row r="35" spans="1:3" ht="15" thickBot="1" x14ac:dyDescent="0.4">
      <c r="A35" s="129" t="s">
        <v>756</v>
      </c>
      <c r="B35" s="127">
        <v>40</v>
      </c>
      <c r="C35" s="127" t="s">
        <v>92</v>
      </c>
    </row>
    <row r="36" spans="1:3" ht="15" thickBot="1" x14ac:dyDescent="0.4">
      <c r="A36" s="129" t="s">
        <v>739</v>
      </c>
      <c r="B36" s="127">
        <v>108</v>
      </c>
      <c r="C36" s="127" t="s">
        <v>92</v>
      </c>
    </row>
    <row r="37" spans="1:3" ht="15" thickBot="1" x14ac:dyDescent="0.4">
      <c r="A37" s="129" t="s">
        <v>757</v>
      </c>
      <c r="B37" s="127">
        <v>32</v>
      </c>
      <c r="C37" s="127" t="s">
        <v>92</v>
      </c>
    </row>
    <row r="38" spans="1:3" ht="15" thickBot="1" x14ac:dyDescent="0.4">
      <c r="A38" s="129" t="s">
        <v>372</v>
      </c>
      <c r="B38" s="127">
        <v>1000</v>
      </c>
      <c r="C38" s="127" t="s">
        <v>92</v>
      </c>
    </row>
    <row r="39" spans="1:3" ht="15" thickBot="1" x14ac:dyDescent="0.4">
      <c r="A39" s="129" t="s">
        <v>758</v>
      </c>
      <c r="B39" s="127">
        <v>35</v>
      </c>
      <c r="C39" s="127" t="s">
        <v>759</v>
      </c>
    </row>
    <row r="40" spans="1:3" ht="15" thickBot="1" x14ac:dyDescent="0.4">
      <c r="A40" s="129" t="s">
        <v>760</v>
      </c>
      <c r="B40" s="127">
        <v>23</v>
      </c>
      <c r="C40" s="127" t="s">
        <v>759</v>
      </c>
    </row>
    <row r="41" spans="1:3" ht="15" thickBot="1" x14ac:dyDescent="0.4">
      <c r="A41" s="129" t="s">
        <v>761</v>
      </c>
      <c r="B41" s="127">
        <v>22</v>
      </c>
      <c r="C41" s="127" t="s">
        <v>92</v>
      </c>
    </row>
    <row r="42" spans="1:3" ht="15" thickBot="1" x14ac:dyDescent="0.4">
      <c r="A42" s="129" t="s">
        <v>762</v>
      </c>
      <c r="B42" s="127">
        <v>52</v>
      </c>
      <c r="C42" s="127" t="s">
        <v>92</v>
      </c>
    </row>
    <row r="43" spans="1:3" ht="15" thickBot="1" x14ac:dyDescent="0.4">
      <c r="A43" s="129" t="s">
        <v>763</v>
      </c>
      <c r="B43" s="127">
        <v>51</v>
      </c>
      <c r="C43" s="127" t="s">
        <v>92</v>
      </c>
    </row>
    <row r="44" spans="1:3" ht="15" thickBot="1" x14ac:dyDescent="0.4">
      <c r="A44" s="129" t="s">
        <v>764</v>
      </c>
      <c r="B44" s="127">
        <v>1005</v>
      </c>
      <c r="C44" s="127" t="s">
        <v>92</v>
      </c>
    </row>
    <row r="45" spans="1:3" ht="15" thickBot="1" x14ac:dyDescent="0.4">
      <c r="A45" s="129" t="s">
        <v>765</v>
      </c>
      <c r="B45" s="127">
        <v>53</v>
      </c>
      <c r="C45" s="127" t="s">
        <v>92</v>
      </c>
    </row>
    <row r="46" spans="1:3" ht="15" thickBot="1" x14ac:dyDescent="0.4">
      <c r="A46" s="129" t="s">
        <v>766</v>
      </c>
      <c r="B46" s="127">
        <v>1011</v>
      </c>
      <c r="C46" s="127" t="s">
        <v>92</v>
      </c>
    </row>
    <row r="47" spans="1:3" ht="15" thickBot="1" x14ac:dyDescent="0.4">
      <c r="A47" s="129" t="s">
        <v>767</v>
      </c>
      <c r="B47" s="127">
        <v>1012</v>
      </c>
      <c r="C47" s="127" t="s">
        <v>92</v>
      </c>
    </row>
    <row r="48" spans="1:3" ht="15" thickBot="1" x14ac:dyDescent="0.4">
      <c r="A48" s="129" t="s">
        <v>768</v>
      </c>
      <c r="B48" s="127">
        <v>1013</v>
      </c>
      <c r="C48" s="127" t="s">
        <v>92</v>
      </c>
    </row>
    <row r="49" spans="1:3" ht="15" thickBot="1" x14ac:dyDescent="0.4">
      <c r="A49" s="129" t="s">
        <v>769</v>
      </c>
      <c r="B49" s="127">
        <v>1007</v>
      </c>
      <c r="C49" s="127" t="s">
        <v>92</v>
      </c>
    </row>
    <row r="50" spans="1:3" ht="15" thickBot="1" x14ac:dyDescent="0.4">
      <c r="A50" s="129" t="s">
        <v>770</v>
      </c>
      <c r="B50" s="127">
        <v>1006</v>
      </c>
      <c r="C50" s="127" t="s">
        <v>92</v>
      </c>
    </row>
    <row r="51" spans="1:3" ht="15" thickBot="1" x14ac:dyDescent="0.4">
      <c r="A51" s="129" t="s">
        <v>771</v>
      </c>
      <c r="B51" s="128">
        <v>34</v>
      </c>
      <c r="C51" s="127" t="s">
        <v>92</v>
      </c>
    </row>
    <row r="52" spans="1:3" ht="15" thickBot="1" x14ac:dyDescent="0.4">
      <c r="A52" s="129" t="s">
        <v>772</v>
      </c>
      <c r="B52" s="128">
        <v>1014</v>
      </c>
      <c r="C52" s="127" t="s">
        <v>92</v>
      </c>
    </row>
    <row r="53" spans="1:3" ht="15" thickBot="1" x14ac:dyDescent="0.4">
      <c r="A53" s="143" t="s">
        <v>773</v>
      </c>
      <c r="B53" s="144"/>
      <c r="C53" s="145"/>
    </row>
    <row r="54" spans="1:3" ht="15" thickBot="1" x14ac:dyDescent="0.4">
      <c r="A54" s="129" t="s">
        <v>774</v>
      </c>
      <c r="B54" s="127">
        <v>26</v>
      </c>
      <c r="C54" s="127" t="s">
        <v>387</v>
      </c>
    </row>
    <row r="55" spans="1:3" ht="15" thickBot="1" x14ac:dyDescent="0.4">
      <c r="A55" s="129" t="s">
        <v>775</v>
      </c>
      <c r="B55" s="127">
        <v>41</v>
      </c>
      <c r="C55" s="127" t="s">
        <v>387</v>
      </c>
    </row>
    <row r="56" spans="1:3" ht="15" thickBot="1" x14ac:dyDescent="0.4">
      <c r="A56" s="129" t="s">
        <v>776</v>
      </c>
      <c r="B56" s="127">
        <v>42</v>
      </c>
      <c r="C56" s="127" t="s">
        <v>387</v>
      </c>
    </row>
    <row r="57" spans="1:3" ht="15" thickBot="1" x14ac:dyDescent="0.4">
      <c r="A57" s="130" t="s">
        <v>777</v>
      </c>
      <c r="B57" s="127">
        <v>101</v>
      </c>
      <c r="C57" s="127" t="s">
        <v>387</v>
      </c>
    </row>
    <row r="58" spans="1:3" ht="15" thickBot="1" x14ac:dyDescent="0.4">
      <c r="A58" s="130" t="s">
        <v>373</v>
      </c>
      <c r="B58" s="127">
        <v>102</v>
      </c>
      <c r="C58" s="127" t="s">
        <v>387</v>
      </c>
    </row>
    <row r="59" spans="1:3" ht="15" thickBot="1" x14ac:dyDescent="0.4">
      <c r="A59" s="130" t="s">
        <v>778</v>
      </c>
      <c r="B59" s="127">
        <v>103</v>
      </c>
      <c r="C59" s="127" t="s">
        <v>387</v>
      </c>
    </row>
    <row r="60" spans="1:3" ht="15" thickBot="1" x14ac:dyDescent="0.4">
      <c r="A60" s="130" t="s">
        <v>779</v>
      </c>
      <c r="B60" s="127">
        <v>104</v>
      </c>
      <c r="C60" s="127" t="s">
        <v>387</v>
      </c>
    </row>
    <row r="61" spans="1:3" ht="15" thickBot="1" x14ac:dyDescent="0.4">
      <c r="A61" s="130" t="s">
        <v>780</v>
      </c>
      <c r="B61" s="127">
        <v>105</v>
      </c>
      <c r="C61" s="127" t="s">
        <v>387</v>
      </c>
    </row>
    <row r="62" spans="1:3" ht="15" thickBot="1" x14ac:dyDescent="0.4">
      <c r="A62" s="130" t="s">
        <v>781</v>
      </c>
      <c r="B62" s="127">
        <v>106</v>
      </c>
      <c r="C62" s="127" t="s">
        <v>387</v>
      </c>
    </row>
    <row r="63" spans="1:3" ht="15" thickBot="1" x14ac:dyDescent="0.4">
      <c r="A63" s="130" t="s">
        <v>782</v>
      </c>
      <c r="B63" s="127">
        <v>107</v>
      </c>
      <c r="C63" s="127" t="s">
        <v>387</v>
      </c>
    </row>
    <row r="64" spans="1:3" ht="15" thickBot="1" x14ac:dyDescent="0.4">
      <c r="A64" s="130" t="s">
        <v>783</v>
      </c>
      <c r="B64" s="127">
        <v>1001</v>
      </c>
      <c r="C64" s="127" t="s">
        <v>387</v>
      </c>
    </row>
    <row r="65" spans="1:3" ht="15" thickBot="1" x14ac:dyDescent="0.4">
      <c r="A65" s="130" t="s">
        <v>784</v>
      </c>
      <c r="B65" s="127">
        <v>1002</v>
      </c>
      <c r="C65" s="127" t="s">
        <v>387</v>
      </c>
    </row>
    <row r="66" spans="1:3" ht="15" thickBot="1" x14ac:dyDescent="0.4">
      <c r="A66" s="130" t="s">
        <v>785</v>
      </c>
      <c r="B66" s="127">
        <v>1003</v>
      </c>
      <c r="C66" s="127" t="s">
        <v>387</v>
      </c>
    </row>
    <row r="67" spans="1:3" ht="15" thickBot="1" x14ac:dyDescent="0.4">
      <c r="A67" s="129" t="s">
        <v>786</v>
      </c>
      <c r="B67" s="128">
        <v>1004</v>
      </c>
      <c r="C67" s="127" t="s">
        <v>387</v>
      </c>
    </row>
    <row r="68" spans="1:3" ht="15" thickBot="1" x14ac:dyDescent="0.4">
      <c r="A68" s="129" t="s">
        <v>787</v>
      </c>
      <c r="B68" s="128">
        <v>52</v>
      </c>
      <c r="C68" s="127" t="s">
        <v>387</v>
      </c>
    </row>
    <row r="69" spans="1:3" ht="15" thickBot="1" x14ac:dyDescent="0.4">
      <c r="A69" s="129" t="s">
        <v>788</v>
      </c>
      <c r="B69" s="128">
        <v>51</v>
      </c>
      <c r="C69" s="127" t="s">
        <v>387</v>
      </c>
    </row>
    <row r="70" spans="1:3" ht="15" thickBot="1" x14ac:dyDescent="0.4">
      <c r="A70" s="129" t="s">
        <v>789</v>
      </c>
      <c r="B70" s="128">
        <v>1006</v>
      </c>
      <c r="C70" s="127" t="s">
        <v>387</v>
      </c>
    </row>
    <row r="71" spans="1:3" ht="15" thickBot="1" x14ac:dyDescent="0.4">
      <c r="A71" s="129" t="s">
        <v>790</v>
      </c>
      <c r="B71" s="128">
        <v>108</v>
      </c>
      <c r="C71" s="127" t="s">
        <v>387</v>
      </c>
    </row>
    <row r="72" spans="1:3" ht="15" thickBot="1" x14ac:dyDescent="0.4">
      <c r="A72" s="129" t="s">
        <v>791</v>
      </c>
      <c r="B72" s="128">
        <v>109</v>
      </c>
      <c r="C72" s="127" t="s">
        <v>387</v>
      </c>
    </row>
    <row r="73" spans="1:3" ht="15" thickBot="1" x14ac:dyDescent="0.4">
      <c r="A73" s="129" t="s">
        <v>792</v>
      </c>
      <c r="B73" s="128">
        <v>1015</v>
      </c>
      <c r="C73" s="127" t="s">
        <v>387</v>
      </c>
    </row>
    <row r="74" spans="1:3" ht="15" thickBot="1" x14ac:dyDescent="0.4">
      <c r="A74" s="129" t="s">
        <v>793</v>
      </c>
      <c r="B74" s="128">
        <v>1016</v>
      </c>
      <c r="C74" s="127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9"/>
  <dimension ref="A1:DB71"/>
  <sheetViews>
    <sheetView zoomScale="70" zoomScaleNormal="70" workbookViewId="0">
      <selection sqref="A1:XFD1048576"/>
    </sheetView>
  </sheetViews>
  <sheetFormatPr baseColWidth="10" defaultColWidth="26" defaultRowHeight="14.5" x14ac:dyDescent="0.35"/>
  <cols>
    <col min="1" max="1" width="34.7265625" style="123" customWidth="1"/>
    <col min="2" max="2" width="17" style="107" bestFit="1" customWidth="1"/>
    <col min="3" max="3" width="20.7265625" style="107" bestFit="1" customWidth="1"/>
    <col min="4" max="4" width="12.26953125" style="107" bestFit="1" customWidth="1"/>
    <col min="5" max="5" width="25.7265625" style="107" bestFit="1" customWidth="1"/>
    <col min="6" max="6" width="24.7265625" style="107" bestFit="1" customWidth="1"/>
    <col min="7" max="7" width="25.7265625" style="107" bestFit="1" customWidth="1"/>
    <col min="8" max="8" width="23.81640625" style="107" bestFit="1" customWidth="1"/>
    <col min="9" max="9" width="25.7265625" style="107" bestFit="1" customWidth="1"/>
    <col min="10" max="10" width="26" style="107" customWidth="1"/>
    <col min="11" max="11" width="25.7265625" style="107" bestFit="1" customWidth="1"/>
    <col min="12" max="12" width="26" style="107" customWidth="1"/>
    <col min="13" max="13" width="25.7265625" style="107" bestFit="1" customWidth="1"/>
    <col min="14" max="14" width="25.54296875" style="107" bestFit="1" customWidth="1"/>
    <col min="15" max="15" width="25.7265625" style="107" bestFit="1" customWidth="1"/>
    <col min="16" max="16" width="25.54296875" style="107" bestFit="1" customWidth="1"/>
    <col min="17" max="17" width="25.7265625" style="107" bestFit="1" customWidth="1"/>
    <col min="18" max="18" width="24.81640625" style="107" bestFit="1" customWidth="1"/>
    <col min="19" max="19" width="23.7265625" style="107" bestFit="1" customWidth="1"/>
    <col min="20" max="20" width="24.81640625" style="107" bestFit="1" customWidth="1"/>
    <col min="21" max="21" width="23.7265625" style="107" bestFit="1" customWidth="1"/>
    <col min="22" max="22" width="24.81640625" style="107" bestFit="1" customWidth="1"/>
    <col min="23" max="28" width="25.7265625" style="107" bestFit="1" customWidth="1"/>
    <col min="29" max="35" width="22.81640625" style="107" bestFit="1" customWidth="1"/>
    <col min="36" max="36" width="23.1796875" style="107" bestFit="1" customWidth="1"/>
    <col min="37" max="37" width="22.81640625" style="107" bestFit="1" customWidth="1"/>
    <col min="38" max="38" width="23.1796875" style="107" bestFit="1" customWidth="1"/>
    <col min="39" max="39" width="22.81640625" style="107" bestFit="1" customWidth="1"/>
    <col min="40" max="40" width="23.1796875" style="107" bestFit="1" customWidth="1"/>
    <col min="41" max="41" width="23.54296875" style="107" bestFit="1" customWidth="1"/>
    <col min="42" max="42" width="24.81640625" style="107" bestFit="1" customWidth="1"/>
    <col min="43" max="43" width="23.54296875" style="107" bestFit="1" customWidth="1"/>
    <col min="44" max="44" width="24.81640625" style="107" bestFit="1" customWidth="1"/>
    <col min="45" max="45" width="23.54296875" style="107" bestFit="1" customWidth="1"/>
    <col min="46" max="46" width="24.81640625" style="107" bestFit="1" customWidth="1"/>
    <col min="47" max="48" width="22.81640625" style="107" bestFit="1" customWidth="1"/>
    <col min="49" max="49" width="25" style="107" bestFit="1" customWidth="1"/>
    <col min="50" max="50" width="22.81640625" style="107" bestFit="1" customWidth="1"/>
    <col min="51" max="51" width="25" style="107" bestFit="1" customWidth="1"/>
    <col min="52" max="52" width="22.81640625" style="107" bestFit="1" customWidth="1"/>
    <col min="53" max="53" width="25" style="107" bestFit="1" customWidth="1"/>
    <col min="54" max="54" width="22.26953125" style="107" bestFit="1" customWidth="1"/>
    <col min="55" max="55" width="20.81640625" style="107" bestFit="1" customWidth="1"/>
    <col min="56" max="56" width="22.26953125" style="107" bestFit="1" customWidth="1"/>
    <col min="57" max="57" width="20.81640625" style="107" bestFit="1" customWidth="1"/>
    <col min="58" max="58" width="22.26953125" style="107" bestFit="1" customWidth="1"/>
    <col min="59" max="59" width="20.81640625" style="107" bestFit="1" customWidth="1"/>
    <col min="60" max="60" width="22.26953125" style="107" bestFit="1" customWidth="1"/>
    <col min="61" max="61" width="22" style="107" bestFit="1" customWidth="1"/>
    <col min="62" max="62" width="22.26953125" style="107" bestFit="1" customWidth="1"/>
    <col min="63" max="63" width="22.7265625" style="107" bestFit="1" customWidth="1"/>
    <col min="64" max="64" width="23.81640625" style="107" bestFit="1" customWidth="1"/>
    <col min="65" max="65" width="25" style="107" bestFit="1" customWidth="1"/>
    <col min="66" max="66" width="23.453125" style="107" bestFit="1" customWidth="1"/>
    <col min="67" max="67" width="25" style="107" bestFit="1" customWidth="1"/>
    <col min="68" max="68" width="22.26953125" style="107" bestFit="1" customWidth="1"/>
    <col min="69" max="69" width="26" style="107" customWidth="1"/>
    <col min="70" max="70" width="22.26953125" style="107" bestFit="1" customWidth="1"/>
    <col min="71" max="71" width="19.54296875" style="107" bestFit="1" customWidth="1"/>
    <col min="72" max="72" width="22.26953125" style="107" bestFit="1" customWidth="1"/>
    <col min="73" max="73" width="26" style="107" customWidth="1"/>
    <col min="74" max="74" width="23.54296875" style="107" bestFit="1" customWidth="1"/>
    <col min="75" max="76" width="23.7265625" style="107" bestFit="1" customWidth="1"/>
    <col min="77" max="77" width="25.81640625" style="107" bestFit="1" customWidth="1"/>
    <col min="78" max="79" width="25.7265625" style="107" bestFit="1" customWidth="1"/>
    <col min="80" max="81" width="23.7265625" style="107" bestFit="1" customWidth="1"/>
    <col min="82" max="82" width="23.54296875" style="107" bestFit="1" customWidth="1"/>
    <col min="83" max="83" width="25.54296875" style="107" bestFit="1" customWidth="1"/>
    <col min="84" max="84" width="23.54296875" style="107" bestFit="1" customWidth="1"/>
    <col min="85" max="85" width="23.453125" style="107" bestFit="1" customWidth="1"/>
    <col min="86" max="87" width="24.453125" style="107" bestFit="1" customWidth="1"/>
    <col min="88" max="88" width="22.7265625" style="107" bestFit="1" customWidth="1"/>
    <col min="89" max="89" width="24" style="107" bestFit="1" customWidth="1"/>
    <col min="90" max="90" width="22.1796875" style="107" bestFit="1" customWidth="1"/>
    <col min="91" max="91" width="18.7265625" style="107" bestFit="1" customWidth="1"/>
    <col min="92" max="92" width="14.54296875" style="107" bestFit="1" customWidth="1"/>
    <col min="93" max="93" width="22.54296875" style="107" bestFit="1" customWidth="1"/>
    <col min="94" max="94" width="23.453125" style="107" bestFit="1" customWidth="1"/>
    <col min="95" max="256" width="26" style="107"/>
    <col min="257" max="257" width="34.7265625" style="107" customWidth="1"/>
    <col min="258" max="258" width="17" style="107" bestFit="1" customWidth="1"/>
    <col min="259" max="259" width="20.7265625" style="107" bestFit="1" customWidth="1"/>
    <col min="260" max="260" width="12.26953125" style="107" bestFit="1" customWidth="1"/>
    <col min="261" max="261" width="25.7265625" style="107" bestFit="1" customWidth="1"/>
    <col min="262" max="262" width="24.7265625" style="107" bestFit="1" customWidth="1"/>
    <col min="263" max="263" width="25.7265625" style="107" bestFit="1" customWidth="1"/>
    <col min="264" max="264" width="23.81640625" style="107" bestFit="1" customWidth="1"/>
    <col min="265" max="265" width="25.7265625" style="107" bestFit="1" customWidth="1"/>
    <col min="266" max="266" width="26" style="107" customWidth="1"/>
    <col min="267" max="267" width="25.7265625" style="107" bestFit="1" customWidth="1"/>
    <col min="268" max="268" width="26" style="107" customWidth="1"/>
    <col min="269" max="269" width="25.7265625" style="107" bestFit="1" customWidth="1"/>
    <col min="270" max="270" width="25.54296875" style="107" bestFit="1" customWidth="1"/>
    <col min="271" max="271" width="25.7265625" style="107" bestFit="1" customWidth="1"/>
    <col min="272" max="272" width="25.54296875" style="107" bestFit="1" customWidth="1"/>
    <col min="273" max="273" width="25.7265625" style="107" bestFit="1" customWidth="1"/>
    <col min="274" max="274" width="24.81640625" style="107" bestFit="1" customWidth="1"/>
    <col min="275" max="275" width="23.7265625" style="107" bestFit="1" customWidth="1"/>
    <col min="276" max="276" width="24.81640625" style="107" bestFit="1" customWidth="1"/>
    <col min="277" max="277" width="23.7265625" style="107" bestFit="1" customWidth="1"/>
    <col min="278" max="278" width="24.81640625" style="107" bestFit="1" customWidth="1"/>
    <col min="279" max="284" width="25.7265625" style="107" bestFit="1" customWidth="1"/>
    <col min="285" max="291" width="22.81640625" style="107" bestFit="1" customWidth="1"/>
    <col min="292" max="292" width="23.1796875" style="107" bestFit="1" customWidth="1"/>
    <col min="293" max="293" width="22.81640625" style="107" bestFit="1" customWidth="1"/>
    <col min="294" max="294" width="23.1796875" style="107" bestFit="1" customWidth="1"/>
    <col min="295" max="295" width="22.81640625" style="107" bestFit="1" customWidth="1"/>
    <col min="296" max="296" width="23.1796875" style="107" bestFit="1" customWidth="1"/>
    <col min="297" max="297" width="23.54296875" style="107" bestFit="1" customWidth="1"/>
    <col min="298" max="298" width="24.81640625" style="107" bestFit="1" customWidth="1"/>
    <col min="299" max="299" width="23.54296875" style="107" bestFit="1" customWidth="1"/>
    <col min="300" max="300" width="24.81640625" style="107" bestFit="1" customWidth="1"/>
    <col min="301" max="301" width="23.54296875" style="107" bestFit="1" customWidth="1"/>
    <col min="302" max="302" width="24.81640625" style="107" bestFit="1" customWidth="1"/>
    <col min="303" max="304" width="22.81640625" style="107" bestFit="1" customWidth="1"/>
    <col min="305" max="305" width="25" style="107" bestFit="1" customWidth="1"/>
    <col min="306" max="306" width="22.81640625" style="107" bestFit="1" customWidth="1"/>
    <col min="307" max="307" width="25" style="107" bestFit="1" customWidth="1"/>
    <col min="308" max="308" width="22.81640625" style="107" bestFit="1" customWidth="1"/>
    <col min="309" max="309" width="25" style="107" bestFit="1" customWidth="1"/>
    <col min="310" max="310" width="22.26953125" style="107" bestFit="1" customWidth="1"/>
    <col min="311" max="311" width="20.81640625" style="107" bestFit="1" customWidth="1"/>
    <col min="312" max="312" width="22.26953125" style="107" bestFit="1" customWidth="1"/>
    <col min="313" max="313" width="20.81640625" style="107" bestFit="1" customWidth="1"/>
    <col min="314" max="314" width="22.26953125" style="107" bestFit="1" customWidth="1"/>
    <col min="315" max="315" width="20.81640625" style="107" bestFit="1" customWidth="1"/>
    <col min="316" max="316" width="22.26953125" style="107" bestFit="1" customWidth="1"/>
    <col min="317" max="317" width="22" style="107" bestFit="1" customWidth="1"/>
    <col min="318" max="318" width="22.26953125" style="107" bestFit="1" customWidth="1"/>
    <col min="319" max="319" width="22.7265625" style="107" bestFit="1" customWidth="1"/>
    <col min="320" max="320" width="23.81640625" style="107" bestFit="1" customWidth="1"/>
    <col min="321" max="321" width="25" style="107" bestFit="1" customWidth="1"/>
    <col min="322" max="322" width="23.453125" style="107" bestFit="1" customWidth="1"/>
    <col min="323" max="323" width="25" style="107" bestFit="1" customWidth="1"/>
    <col min="324" max="324" width="22.26953125" style="107" bestFit="1" customWidth="1"/>
    <col min="325" max="325" width="26" style="107" customWidth="1"/>
    <col min="326" max="326" width="22.26953125" style="107" bestFit="1" customWidth="1"/>
    <col min="327" max="327" width="19.54296875" style="107" bestFit="1" customWidth="1"/>
    <col min="328" max="328" width="22.26953125" style="107" bestFit="1" customWidth="1"/>
    <col min="329" max="329" width="26" style="107" customWidth="1"/>
    <col min="330" max="330" width="23.54296875" style="107" bestFit="1" customWidth="1"/>
    <col min="331" max="332" width="23.7265625" style="107" bestFit="1" customWidth="1"/>
    <col min="333" max="333" width="25.81640625" style="107" bestFit="1" customWidth="1"/>
    <col min="334" max="335" width="25.7265625" style="107" bestFit="1" customWidth="1"/>
    <col min="336" max="337" width="23.7265625" style="107" bestFit="1" customWidth="1"/>
    <col min="338" max="338" width="23.54296875" style="107" bestFit="1" customWidth="1"/>
    <col min="339" max="339" width="25.54296875" style="107" bestFit="1" customWidth="1"/>
    <col min="340" max="340" width="23.54296875" style="107" bestFit="1" customWidth="1"/>
    <col min="341" max="341" width="23.453125" style="107" bestFit="1" customWidth="1"/>
    <col min="342" max="343" width="24.453125" style="107" bestFit="1" customWidth="1"/>
    <col min="344" max="344" width="22.7265625" style="107" bestFit="1" customWidth="1"/>
    <col min="345" max="345" width="24" style="107" bestFit="1" customWidth="1"/>
    <col min="346" max="346" width="22.1796875" style="107" bestFit="1" customWidth="1"/>
    <col min="347" max="347" width="18.7265625" style="107" bestFit="1" customWidth="1"/>
    <col min="348" max="348" width="14.54296875" style="107" bestFit="1" customWidth="1"/>
    <col min="349" max="349" width="22.54296875" style="107" bestFit="1" customWidth="1"/>
    <col min="350" max="350" width="23.453125" style="107" bestFit="1" customWidth="1"/>
    <col min="351" max="512" width="26" style="107"/>
    <col min="513" max="513" width="34.7265625" style="107" customWidth="1"/>
    <col min="514" max="514" width="17" style="107" bestFit="1" customWidth="1"/>
    <col min="515" max="515" width="20.7265625" style="107" bestFit="1" customWidth="1"/>
    <col min="516" max="516" width="12.26953125" style="107" bestFit="1" customWidth="1"/>
    <col min="517" max="517" width="25.7265625" style="107" bestFit="1" customWidth="1"/>
    <col min="518" max="518" width="24.7265625" style="107" bestFit="1" customWidth="1"/>
    <col min="519" max="519" width="25.7265625" style="107" bestFit="1" customWidth="1"/>
    <col min="520" max="520" width="23.81640625" style="107" bestFit="1" customWidth="1"/>
    <col min="521" max="521" width="25.7265625" style="107" bestFit="1" customWidth="1"/>
    <col min="522" max="522" width="26" style="107" customWidth="1"/>
    <col min="523" max="523" width="25.7265625" style="107" bestFit="1" customWidth="1"/>
    <col min="524" max="524" width="26" style="107" customWidth="1"/>
    <col min="525" max="525" width="25.7265625" style="107" bestFit="1" customWidth="1"/>
    <col min="526" max="526" width="25.54296875" style="107" bestFit="1" customWidth="1"/>
    <col min="527" max="527" width="25.7265625" style="107" bestFit="1" customWidth="1"/>
    <col min="528" max="528" width="25.54296875" style="107" bestFit="1" customWidth="1"/>
    <col min="529" max="529" width="25.7265625" style="107" bestFit="1" customWidth="1"/>
    <col min="530" max="530" width="24.81640625" style="107" bestFit="1" customWidth="1"/>
    <col min="531" max="531" width="23.7265625" style="107" bestFit="1" customWidth="1"/>
    <col min="532" max="532" width="24.81640625" style="107" bestFit="1" customWidth="1"/>
    <col min="533" max="533" width="23.7265625" style="107" bestFit="1" customWidth="1"/>
    <col min="534" max="534" width="24.81640625" style="107" bestFit="1" customWidth="1"/>
    <col min="535" max="540" width="25.7265625" style="107" bestFit="1" customWidth="1"/>
    <col min="541" max="547" width="22.81640625" style="107" bestFit="1" customWidth="1"/>
    <col min="548" max="548" width="23.1796875" style="107" bestFit="1" customWidth="1"/>
    <col min="549" max="549" width="22.81640625" style="107" bestFit="1" customWidth="1"/>
    <col min="550" max="550" width="23.1796875" style="107" bestFit="1" customWidth="1"/>
    <col min="551" max="551" width="22.81640625" style="107" bestFit="1" customWidth="1"/>
    <col min="552" max="552" width="23.1796875" style="107" bestFit="1" customWidth="1"/>
    <col min="553" max="553" width="23.54296875" style="107" bestFit="1" customWidth="1"/>
    <col min="554" max="554" width="24.81640625" style="107" bestFit="1" customWidth="1"/>
    <col min="555" max="555" width="23.54296875" style="107" bestFit="1" customWidth="1"/>
    <col min="556" max="556" width="24.81640625" style="107" bestFit="1" customWidth="1"/>
    <col min="557" max="557" width="23.54296875" style="107" bestFit="1" customWidth="1"/>
    <col min="558" max="558" width="24.81640625" style="107" bestFit="1" customWidth="1"/>
    <col min="559" max="560" width="22.81640625" style="107" bestFit="1" customWidth="1"/>
    <col min="561" max="561" width="25" style="107" bestFit="1" customWidth="1"/>
    <col min="562" max="562" width="22.81640625" style="107" bestFit="1" customWidth="1"/>
    <col min="563" max="563" width="25" style="107" bestFit="1" customWidth="1"/>
    <col min="564" max="564" width="22.81640625" style="107" bestFit="1" customWidth="1"/>
    <col min="565" max="565" width="25" style="107" bestFit="1" customWidth="1"/>
    <col min="566" max="566" width="22.26953125" style="107" bestFit="1" customWidth="1"/>
    <col min="567" max="567" width="20.81640625" style="107" bestFit="1" customWidth="1"/>
    <col min="568" max="568" width="22.26953125" style="107" bestFit="1" customWidth="1"/>
    <col min="569" max="569" width="20.81640625" style="107" bestFit="1" customWidth="1"/>
    <col min="570" max="570" width="22.26953125" style="107" bestFit="1" customWidth="1"/>
    <col min="571" max="571" width="20.81640625" style="107" bestFit="1" customWidth="1"/>
    <col min="572" max="572" width="22.26953125" style="107" bestFit="1" customWidth="1"/>
    <col min="573" max="573" width="22" style="107" bestFit="1" customWidth="1"/>
    <col min="574" max="574" width="22.26953125" style="107" bestFit="1" customWidth="1"/>
    <col min="575" max="575" width="22.7265625" style="107" bestFit="1" customWidth="1"/>
    <col min="576" max="576" width="23.81640625" style="107" bestFit="1" customWidth="1"/>
    <col min="577" max="577" width="25" style="107" bestFit="1" customWidth="1"/>
    <col min="578" max="578" width="23.453125" style="107" bestFit="1" customWidth="1"/>
    <col min="579" max="579" width="25" style="107" bestFit="1" customWidth="1"/>
    <col min="580" max="580" width="22.26953125" style="107" bestFit="1" customWidth="1"/>
    <col min="581" max="581" width="26" style="107" customWidth="1"/>
    <col min="582" max="582" width="22.26953125" style="107" bestFit="1" customWidth="1"/>
    <col min="583" max="583" width="19.54296875" style="107" bestFit="1" customWidth="1"/>
    <col min="584" max="584" width="22.26953125" style="107" bestFit="1" customWidth="1"/>
    <col min="585" max="585" width="26" style="107" customWidth="1"/>
    <col min="586" max="586" width="23.54296875" style="107" bestFit="1" customWidth="1"/>
    <col min="587" max="588" width="23.7265625" style="107" bestFit="1" customWidth="1"/>
    <col min="589" max="589" width="25.81640625" style="107" bestFit="1" customWidth="1"/>
    <col min="590" max="591" width="25.7265625" style="107" bestFit="1" customWidth="1"/>
    <col min="592" max="593" width="23.7265625" style="107" bestFit="1" customWidth="1"/>
    <col min="594" max="594" width="23.54296875" style="107" bestFit="1" customWidth="1"/>
    <col min="595" max="595" width="25.54296875" style="107" bestFit="1" customWidth="1"/>
    <col min="596" max="596" width="23.54296875" style="107" bestFit="1" customWidth="1"/>
    <col min="597" max="597" width="23.453125" style="107" bestFit="1" customWidth="1"/>
    <col min="598" max="599" width="24.453125" style="107" bestFit="1" customWidth="1"/>
    <col min="600" max="600" width="22.7265625" style="107" bestFit="1" customWidth="1"/>
    <col min="601" max="601" width="24" style="107" bestFit="1" customWidth="1"/>
    <col min="602" max="602" width="22.1796875" style="107" bestFit="1" customWidth="1"/>
    <col min="603" max="603" width="18.7265625" style="107" bestFit="1" customWidth="1"/>
    <col min="604" max="604" width="14.54296875" style="107" bestFit="1" customWidth="1"/>
    <col min="605" max="605" width="22.54296875" style="107" bestFit="1" customWidth="1"/>
    <col min="606" max="606" width="23.453125" style="107" bestFit="1" customWidth="1"/>
    <col min="607" max="768" width="26" style="107"/>
    <col min="769" max="769" width="34.7265625" style="107" customWidth="1"/>
    <col min="770" max="770" width="17" style="107" bestFit="1" customWidth="1"/>
    <col min="771" max="771" width="20.7265625" style="107" bestFit="1" customWidth="1"/>
    <col min="772" max="772" width="12.26953125" style="107" bestFit="1" customWidth="1"/>
    <col min="773" max="773" width="25.7265625" style="107" bestFit="1" customWidth="1"/>
    <col min="774" max="774" width="24.7265625" style="107" bestFit="1" customWidth="1"/>
    <col min="775" max="775" width="25.7265625" style="107" bestFit="1" customWidth="1"/>
    <col min="776" max="776" width="23.81640625" style="107" bestFit="1" customWidth="1"/>
    <col min="777" max="777" width="25.7265625" style="107" bestFit="1" customWidth="1"/>
    <col min="778" max="778" width="26" style="107" customWidth="1"/>
    <col min="779" max="779" width="25.7265625" style="107" bestFit="1" customWidth="1"/>
    <col min="780" max="780" width="26" style="107" customWidth="1"/>
    <col min="781" max="781" width="25.7265625" style="107" bestFit="1" customWidth="1"/>
    <col min="782" max="782" width="25.54296875" style="107" bestFit="1" customWidth="1"/>
    <col min="783" max="783" width="25.7265625" style="107" bestFit="1" customWidth="1"/>
    <col min="784" max="784" width="25.54296875" style="107" bestFit="1" customWidth="1"/>
    <col min="785" max="785" width="25.7265625" style="107" bestFit="1" customWidth="1"/>
    <col min="786" max="786" width="24.81640625" style="107" bestFit="1" customWidth="1"/>
    <col min="787" max="787" width="23.7265625" style="107" bestFit="1" customWidth="1"/>
    <col min="788" max="788" width="24.81640625" style="107" bestFit="1" customWidth="1"/>
    <col min="789" max="789" width="23.7265625" style="107" bestFit="1" customWidth="1"/>
    <col min="790" max="790" width="24.81640625" style="107" bestFit="1" customWidth="1"/>
    <col min="791" max="796" width="25.7265625" style="107" bestFit="1" customWidth="1"/>
    <col min="797" max="803" width="22.81640625" style="107" bestFit="1" customWidth="1"/>
    <col min="804" max="804" width="23.1796875" style="107" bestFit="1" customWidth="1"/>
    <col min="805" max="805" width="22.81640625" style="107" bestFit="1" customWidth="1"/>
    <col min="806" max="806" width="23.1796875" style="107" bestFit="1" customWidth="1"/>
    <col min="807" max="807" width="22.81640625" style="107" bestFit="1" customWidth="1"/>
    <col min="808" max="808" width="23.1796875" style="107" bestFit="1" customWidth="1"/>
    <col min="809" max="809" width="23.54296875" style="107" bestFit="1" customWidth="1"/>
    <col min="810" max="810" width="24.81640625" style="107" bestFit="1" customWidth="1"/>
    <col min="811" max="811" width="23.54296875" style="107" bestFit="1" customWidth="1"/>
    <col min="812" max="812" width="24.81640625" style="107" bestFit="1" customWidth="1"/>
    <col min="813" max="813" width="23.54296875" style="107" bestFit="1" customWidth="1"/>
    <col min="814" max="814" width="24.81640625" style="107" bestFit="1" customWidth="1"/>
    <col min="815" max="816" width="22.81640625" style="107" bestFit="1" customWidth="1"/>
    <col min="817" max="817" width="25" style="107" bestFit="1" customWidth="1"/>
    <col min="818" max="818" width="22.81640625" style="107" bestFit="1" customWidth="1"/>
    <col min="819" max="819" width="25" style="107" bestFit="1" customWidth="1"/>
    <col min="820" max="820" width="22.81640625" style="107" bestFit="1" customWidth="1"/>
    <col min="821" max="821" width="25" style="107" bestFit="1" customWidth="1"/>
    <col min="822" max="822" width="22.26953125" style="107" bestFit="1" customWidth="1"/>
    <col min="823" max="823" width="20.81640625" style="107" bestFit="1" customWidth="1"/>
    <col min="824" max="824" width="22.26953125" style="107" bestFit="1" customWidth="1"/>
    <col min="825" max="825" width="20.81640625" style="107" bestFit="1" customWidth="1"/>
    <col min="826" max="826" width="22.26953125" style="107" bestFit="1" customWidth="1"/>
    <col min="827" max="827" width="20.81640625" style="107" bestFit="1" customWidth="1"/>
    <col min="828" max="828" width="22.26953125" style="107" bestFit="1" customWidth="1"/>
    <col min="829" max="829" width="22" style="107" bestFit="1" customWidth="1"/>
    <col min="830" max="830" width="22.26953125" style="107" bestFit="1" customWidth="1"/>
    <col min="831" max="831" width="22.7265625" style="107" bestFit="1" customWidth="1"/>
    <col min="832" max="832" width="23.81640625" style="107" bestFit="1" customWidth="1"/>
    <col min="833" max="833" width="25" style="107" bestFit="1" customWidth="1"/>
    <col min="834" max="834" width="23.453125" style="107" bestFit="1" customWidth="1"/>
    <col min="835" max="835" width="25" style="107" bestFit="1" customWidth="1"/>
    <col min="836" max="836" width="22.26953125" style="107" bestFit="1" customWidth="1"/>
    <col min="837" max="837" width="26" style="107" customWidth="1"/>
    <col min="838" max="838" width="22.26953125" style="107" bestFit="1" customWidth="1"/>
    <col min="839" max="839" width="19.54296875" style="107" bestFit="1" customWidth="1"/>
    <col min="840" max="840" width="22.26953125" style="107" bestFit="1" customWidth="1"/>
    <col min="841" max="841" width="26" style="107" customWidth="1"/>
    <col min="842" max="842" width="23.54296875" style="107" bestFit="1" customWidth="1"/>
    <col min="843" max="844" width="23.7265625" style="107" bestFit="1" customWidth="1"/>
    <col min="845" max="845" width="25.81640625" style="107" bestFit="1" customWidth="1"/>
    <col min="846" max="847" width="25.7265625" style="107" bestFit="1" customWidth="1"/>
    <col min="848" max="849" width="23.7265625" style="107" bestFit="1" customWidth="1"/>
    <col min="850" max="850" width="23.54296875" style="107" bestFit="1" customWidth="1"/>
    <col min="851" max="851" width="25.54296875" style="107" bestFit="1" customWidth="1"/>
    <col min="852" max="852" width="23.54296875" style="107" bestFit="1" customWidth="1"/>
    <col min="853" max="853" width="23.453125" style="107" bestFit="1" customWidth="1"/>
    <col min="854" max="855" width="24.453125" style="107" bestFit="1" customWidth="1"/>
    <col min="856" max="856" width="22.7265625" style="107" bestFit="1" customWidth="1"/>
    <col min="857" max="857" width="24" style="107" bestFit="1" customWidth="1"/>
    <col min="858" max="858" width="22.1796875" style="107" bestFit="1" customWidth="1"/>
    <col min="859" max="859" width="18.7265625" style="107" bestFit="1" customWidth="1"/>
    <col min="860" max="860" width="14.54296875" style="107" bestFit="1" customWidth="1"/>
    <col min="861" max="861" width="22.54296875" style="107" bestFit="1" customWidth="1"/>
    <col min="862" max="862" width="23.453125" style="107" bestFit="1" customWidth="1"/>
    <col min="863" max="1024" width="26" style="107"/>
    <col min="1025" max="1025" width="34.7265625" style="107" customWidth="1"/>
    <col min="1026" max="1026" width="17" style="107" bestFit="1" customWidth="1"/>
    <col min="1027" max="1027" width="20.7265625" style="107" bestFit="1" customWidth="1"/>
    <col min="1028" max="1028" width="12.26953125" style="107" bestFit="1" customWidth="1"/>
    <col min="1029" max="1029" width="25.7265625" style="107" bestFit="1" customWidth="1"/>
    <col min="1030" max="1030" width="24.7265625" style="107" bestFit="1" customWidth="1"/>
    <col min="1031" max="1031" width="25.7265625" style="107" bestFit="1" customWidth="1"/>
    <col min="1032" max="1032" width="23.81640625" style="107" bestFit="1" customWidth="1"/>
    <col min="1033" max="1033" width="25.7265625" style="107" bestFit="1" customWidth="1"/>
    <col min="1034" max="1034" width="26" style="107" customWidth="1"/>
    <col min="1035" max="1035" width="25.7265625" style="107" bestFit="1" customWidth="1"/>
    <col min="1036" max="1036" width="26" style="107" customWidth="1"/>
    <col min="1037" max="1037" width="25.7265625" style="107" bestFit="1" customWidth="1"/>
    <col min="1038" max="1038" width="25.54296875" style="107" bestFit="1" customWidth="1"/>
    <col min="1039" max="1039" width="25.7265625" style="107" bestFit="1" customWidth="1"/>
    <col min="1040" max="1040" width="25.54296875" style="107" bestFit="1" customWidth="1"/>
    <col min="1041" max="1041" width="25.7265625" style="107" bestFit="1" customWidth="1"/>
    <col min="1042" max="1042" width="24.81640625" style="107" bestFit="1" customWidth="1"/>
    <col min="1043" max="1043" width="23.7265625" style="107" bestFit="1" customWidth="1"/>
    <col min="1044" max="1044" width="24.81640625" style="107" bestFit="1" customWidth="1"/>
    <col min="1045" max="1045" width="23.7265625" style="107" bestFit="1" customWidth="1"/>
    <col min="1046" max="1046" width="24.81640625" style="107" bestFit="1" customWidth="1"/>
    <col min="1047" max="1052" width="25.7265625" style="107" bestFit="1" customWidth="1"/>
    <col min="1053" max="1059" width="22.81640625" style="107" bestFit="1" customWidth="1"/>
    <col min="1060" max="1060" width="23.1796875" style="107" bestFit="1" customWidth="1"/>
    <col min="1061" max="1061" width="22.81640625" style="107" bestFit="1" customWidth="1"/>
    <col min="1062" max="1062" width="23.1796875" style="107" bestFit="1" customWidth="1"/>
    <col min="1063" max="1063" width="22.81640625" style="107" bestFit="1" customWidth="1"/>
    <col min="1064" max="1064" width="23.1796875" style="107" bestFit="1" customWidth="1"/>
    <col min="1065" max="1065" width="23.54296875" style="107" bestFit="1" customWidth="1"/>
    <col min="1066" max="1066" width="24.81640625" style="107" bestFit="1" customWidth="1"/>
    <col min="1067" max="1067" width="23.54296875" style="107" bestFit="1" customWidth="1"/>
    <col min="1068" max="1068" width="24.81640625" style="107" bestFit="1" customWidth="1"/>
    <col min="1069" max="1069" width="23.54296875" style="107" bestFit="1" customWidth="1"/>
    <col min="1070" max="1070" width="24.81640625" style="107" bestFit="1" customWidth="1"/>
    <col min="1071" max="1072" width="22.81640625" style="107" bestFit="1" customWidth="1"/>
    <col min="1073" max="1073" width="25" style="107" bestFit="1" customWidth="1"/>
    <col min="1074" max="1074" width="22.81640625" style="107" bestFit="1" customWidth="1"/>
    <col min="1075" max="1075" width="25" style="107" bestFit="1" customWidth="1"/>
    <col min="1076" max="1076" width="22.81640625" style="107" bestFit="1" customWidth="1"/>
    <col min="1077" max="1077" width="25" style="107" bestFit="1" customWidth="1"/>
    <col min="1078" max="1078" width="22.26953125" style="107" bestFit="1" customWidth="1"/>
    <col min="1079" max="1079" width="20.81640625" style="107" bestFit="1" customWidth="1"/>
    <col min="1080" max="1080" width="22.26953125" style="107" bestFit="1" customWidth="1"/>
    <col min="1081" max="1081" width="20.81640625" style="107" bestFit="1" customWidth="1"/>
    <col min="1082" max="1082" width="22.26953125" style="107" bestFit="1" customWidth="1"/>
    <col min="1083" max="1083" width="20.81640625" style="107" bestFit="1" customWidth="1"/>
    <col min="1084" max="1084" width="22.26953125" style="107" bestFit="1" customWidth="1"/>
    <col min="1085" max="1085" width="22" style="107" bestFit="1" customWidth="1"/>
    <col min="1086" max="1086" width="22.26953125" style="107" bestFit="1" customWidth="1"/>
    <col min="1087" max="1087" width="22.7265625" style="107" bestFit="1" customWidth="1"/>
    <col min="1088" max="1088" width="23.81640625" style="107" bestFit="1" customWidth="1"/>
    <col min="1089" max="1089" width="25" style="107" bestFit="1" customWidth="1"/>
    <col min="1090" max="1090" width="23.453125" style="107" bestFit="1" customWidth="1"/>
    <col min="1091" max="1091" width="25" style="107" bestFit="1" customWidth="1"/>
    <col min="1092" max="1092" width="22.26953125" style="107" bestFit="1" customWidth="1"/>
    <col min="1093" max="1093" width="26" style="107" customWidth="1"/>
    <col min="1094" max="1094" width="22.26953125" style="107" bestFit="1" customWidth="1"/>
    <col min="1095" max="1095" width="19.54296875" style="107" bestFit="1" customWidth="1"/>
    <col min="1096" max="1096" width="22.26953125" style="107" bestFit="1" customWidth="1"/>
    <col min="1097" max="1097" width="26" style="107" customWidth="1"/>
    <col min="1098" max="1098" width="23.54296875" style="107" bestFit="1" customWidth="1"/>
    <col min="1099" max="1100" width="23.7265625" style="107" bestFit="1" customWidth="1"/>
    <col min="1101" max="1101" width="25.81640625" style="107" bestFit="1" customWidth="1"/>
    <col min="1102" max="1103" width="25.7265625" style="107" bestFit="1" customWidth="1"/>
    <col min="1104" max="1105" width="23.7265625" style="107" bestFit="1" customWidth="1"/>
    <col min="1106" max="1106" width="23.54296875" style="107" bestFit="1" customWidth="1"/>
    <col min="1107" max="1107" width="25.54296875" style="107" bestFit="1" customWidth="1"/>
    <col min="1108" max="1108" width="23.54296875" style="107" bestFit="1" customWidth="1"/>
    <col min="1109" max="1109" width="23.453125" style="107" bestFit="1" customWidth="1"/>
    <col min="1110" max="1111" width="24.453125" style="107" bestFit="1" customWidth="1"/>
    <col min="1112" max="1112" width="22.7265625" style="107" bestFit="1" customWidth="1"/>
    <col min="1113" max="1113" width="24" style="107" bestFit="1" customWidth="1"/>
    <col min="1114" max="1114" width="22.1796875" style="107" bestFit="1" customWidth="1"/>
    <col min="1115" max="1115" width="18.7265625" style="107" bestFit="1" customWidth="1"/>
    <col min="1116" max="1116" width="14.54296875" style="107" bestFit="1" customWidth="1"/>
    <col min="1117" max="1117" width="22.54296875" style="107" bestFit="1" customWidth="1"/>
    <col min="1118" max="1118" width="23.453125" style="107" bestFit="1" customWidth="1"/>
    <col min="1119" max="1280" width="26" style="107"/>
    <col min="1281" max="1281" width="34.7265625" style="107" customWidth="1"/>
    <col min="1282" max="1282" width="17" style="107" bestFit="1" customWidth="1"/>
    <col min="1283" max="1283" width="20.7265625" style="107" bestFit="1" customWidth="1"/>
    <col min="1284" max="1284" width="12.26953125" style="107" bestFit="1" customWidth="1"/>
    <col min="1285" max="1285" width="25.7265625" style="107" bestFit="1" customWidth="1"/>
    <col min="1286" max="1286" width="24.7265625" style="107" bestFit="1" customWidth="1"/>
    <col min="1287" max="1287" width="25.7265625" style="107" bestFit="1" customWidth="1"/>
    <col min="1288" max="1288" width="23.81640625" style="107" bestFit="1" customWidth="1"/>
    <col min="1289" max="1289" width="25.7265625" style="107" bestFit="1" customWidth="1"/>
    <col min="1290" max="1290" width="26" style="107" customWidth="1"/>
    <col min="1291" max="1291" width="25.7265625" style="107" bestFit="1" customWidth="1"/>
    <col min="1292" max="1292" width="26" style="107" customWidth="1"/>
    <col min="1293" max="1293" width="25.7265625" style="107" bestFit="1" customWidth="1"/>
    <col min="1294" max="1294" width="25.54296875" style="107" bestFit="1" customWidth="1"/>
    <col min="1295" max="1295" width="25.7265625" style="107" bestFit="1" customWidth="1"/>
    <col min="1296" max="1296" width="25.54296875" style="107" bestFit="1" customWidth="1"/>
    <col min="1297" max="1297" width="25.7265625" style="107" bestFit="1" customWidth="1"/>
    <col min="1298" max="1298" width="24.81640625" style="107" bestFit="1" customWidth="1"/>
    <col min="1299" max="1299" width="23.7265625" style="107" bestFit="1" customWidth="1"/>
    <col min="1300" max="1300" width="24.81640625" style="107" bestFit="1" customWidth="1"/>
    <col min="1301" max="1301" width="23.7265625" style="107" bestFit="1" customWidth="1"/>
    <col min="1302" max="1302" width="24.81640625" style="107" bestFit="1" customWidth="1"/>
    <col min="1303" max="1308" width="25.7265625" style="107" bestFit="1" customWidth="1"/>
    <col min="1309" max="1315" width="22.81640625" style="107" bestFit="1" customWidth="1"/>
    <col min="1316" max="1316" width="23.1796875" style="107" bestFit="1" customWidth="1"/>
    <col min="1317" max="1317" width="22.81640625" style="107" bestFit="1" customWidth="1"/>
    <col min="1318" max="1318" width="23.1796875" style="107" bestFit="1" customWidth="1"/>
    <col min="1319" max="1319" width="22.81640625" style="107" bestFit="1" customWidth="1"/>
    <col min="1320" max="1320" width="23.1796875" style="107" bestFit="1" customWidth="1"/>
    <col min="1321" max="1321" width="23.54296875" style="107" bestFit="1" customWidth="1"/>
    <col min="1322" max="1322" width="24.81640625" style="107" bestFit="1" customWidth="1"/>
    <col min="1323" max="1323" width="23.54296875" style="107" bestFit="1" customWidth="1"/>
    <col min="1324" max="1324" width="24.81640625" style="107" bestFit="1" customWidth="1"/>
    <col min="1325" max="1325" width="23.54296875" style="107" bestFit="1" customWidth="1"/>
    <col min="1326" max="1326" width="24.81640625" style="107" bestFit="1" customWidth="1"/>
    <col min="1327" max="1328" width="22.81640625" style="107" bestFit="1" customWidth="1"/>
    <col min="1329" max="1329" width="25" style="107" bestFit="1" customWidth="1"/>
    <col min="1330" max="1330" width="22.81640625" style="107" bestFit="1" customWidth="1"/>
    <col min="1331" max="1331" width="25" style="107" bestFit="1" customWidth="1"/>
    <col min="1332" max="1332" width="22.81640625" style="107" bestFit="1" customWidth="1"/>
    <col min="1333" max="1333" width="25" style="107" bestFit="1" customWidth="1"/>
    <col min="1334" max="1334" width="22.26953125" style="107" bestFit="1" customWidth="1"/>
    <col min="1335" max="1335" width="20.81640625" style="107" bestFit="1" customWidth="1"/>
    <col min="1336" max="1336" width="22.26953125" style="107" bestFit="1" customWidth="1"/>
    <col min="1337" max="1337" width="20.81640625" style="107" bestFit="1" customWidth="1"/>
    <col min="1338" max="1338" width="22.26953125" style="107" bestFit="1" customWidth="1"/>
    <col min="1339" max="1339" width="20.81640625" style="107" bestFit="1" customWidth="1"/>
    <col min="1340" max="1340" width="22.26953125" style="107" bestFit="1" customWidth="1"/>
    <col min="1341" max="1341" width="22" style="107" bestFit="1" customWidth="1"/>
    <col min="1342" max="1342" width="22.26953125" style="107" bestFit="1" customWidth="1"/>
    <col min="1343" max="1343" width="22.7265625" style="107" bestFit="1" customWidth="1"/>
    <col min="1344" max="1344" width="23.81640625" style="107" bestFit="1" customWidth="1"/>
    <col min="1345" max="1345" width="25" style="107" bestFit="1" customWidth="1"/>
    <col min="1346" max="1346" width="23.453125" style="107" bestFit="1" customWidth="1"/>
    <col min="1347" max="1347" width="25" style="107" bestFit="1" customWidth="1"/>
    <col min="1348" max="1348" width="22.26953125" style="107" bestFit="1" customWidth="1"/>
    <col min="1349" max="1349" width="26" style="107" customWidth="1"/>
    <col min="1350" max="1350" width="22.26953125" style="107" bestFit="1" customWidth="1"/>
    <col min="1351" max="1351" width="19.54296875" style="107" bestFit="1" customWidth="1"/>
    <col min="1352" max="1352" width="22.26953125" style="107" bestFit="1" customWidth="1"/>
    <col min="1353" max="1353" width="26" style="107" customWidth="1"/>
    <col min="1354" max="1354" width="23.54296875" style="107" bestFit="1" customWidth="1"/>
    <col min="1355" max="1356" width="23.7265625" style="107" bestFit="1" customWidth="1"/>
    <col min="1357" max="1357" width="25.81640625" style="107" bestFit="1" customWidth="1"/>
    <col min="1358" max="1359" width="25.7265625" style="107" bestFit="1" customWidth="1"/>
    <col min="1360" max="1361" width="23.7265625" style="107" bestFit="1" customWidth="1"/>
    <col min="1362" max="1362" width="23.54296875" style="107" bestFit="1" customWidth="1"/>
    <col min="1363" max="1363" width="25.54296875" style="107" bestFit="1" customWidth="1"/>
    <col min="1364" max="1364" width="23.54296875" style="107" bestFit="1" customWidth="1"/>
    <col min="1365" max="1365" width="23.453125" style="107" bestFit="1" customWidth="1"/>
    <col min="1366" max="1367" width="24.453125" style="107" bestFit="1" customWidth="1"/>
    <col min="1368" max="1368" width="22.7265625" style="107" bestFit="1" customWidth="1"/>
    <col min="1369" max="1369" width="24" style="107" bestFit="1" customWidth="1"/>
    <col min="1370" max="1370" width="22.1796875" style="107" bestFit="1" customWidth="1"/>
    <col min="1371" max="1371" width="18.7265625" style="107" bestFit="1" customWidth="1"/>
    <col min="1372" max="1372" width="14.54296875" style="107" bestFit="1" customWidth="1"/>
    <col min="1373" max="1373" width="22.54296875" style="107" bestFit="1" customWidth="1"/>
    <col min="1374" max="1374" width="23.453125" style="107" bestFit="1" customWidth="1"/>
    <col min="1375" max="1536" width="26" style="107"/>
    <col min="1537" max="1537" width="34.7265625" style="107" customWidth="1"/>
    <col min="1538" max="1538" width="17" style="107" bestFit="1" customWidth="1"/>
    <col min="1539" max="1539" width="20.7265625" style="107" bestFit="1" customWidth="1"/>
    <col min="1540" max="1540" width="12.26953125" style="107" bestFit="1" customWidth="1"/>
    <col min="1541" max="1541" width="25.7265625" style="107" bestFit="1" customWidth="1"/>
    <col min="1542" max="1542" width="24.7265625" style="107" bestFit="1" customWidth="1"/>
    <col min="1543" max="1543" width="25.7265625" style="107" bestFit="1" customWidth="1"/>
    <col min="1544" max="1544" width="23.81640625" style="107" bestFit="1" customWidth="1"/>
    <col min="1545" max="1545" width="25.7265625" style="107" bestFit="1" customWidth="1"/>
    <col min="1546" max="1546" width="26" style="107" customWidth="1"/>
    <col min="1547" max="1547" width="25.7265625" style="107" bestFit="1" customWidth="1"/>
    <col min="1548" max="1548" width="26" style="107" customWidth="1"/>
    <col min="1549" max="1549" width="25.7265625" style="107" bestFit="1" customWidth="1"/>
    <col min="1550" max="1550" width="25.54296875" style="107" bestFit="1" customWidth="1"/>
    <col min="1551" max="1551" width="25.7265625" style="107" bestFit="1" customWidth="1"/>
    <col min="1552" max="1552" width="25.54296875" style="107" bestFit="1" customWidth="1"/>
    <col min="1553" max="1553" width="25.7265625" style="107" bestFit="1" customWidth="1"/>
    <col min="1554" max="1554" width="24.81640625" style="107" bestFit="1" customWidth="1"/>
    <col min="1555" max="1555" width="23.7265625" style="107" bestFit="1" customWidth="1"/>
    <col min="1556" max="1556" width="24.81640625" style="107" bestFit="1" customWidth="1"/>
    <col min="1557" max="1557" width="23.7265625" style="107" bestFit="1" customWidth="1"/>
    <col min="1558" max="1558" width="24.81640625" style="107" bestFit="1" customWidth="1"/>
    <col min="1559" max="1564" width="25.7265625" style="107" bestFit="1" customWidth="1"/>
    <col min="1565" max="1571" width="22.81640625" style="107" bestFit="1" customWidth="1"/>
    <col min="1572" max="1572" width="23.1796875" style="107" bestFit="1" customWidth="1"/>
    <col min="1573" max="1573" width="22.81640625" style="107" bestFit="1" customWidth="1"/>
    <col min="1574" max="1574" width="23.1796875" style="107" bestFit="1" customWidth="1"/>
    <col min="1575" max="1575" width="22.81640625" style="107" bestFit="1" customWidth="1"/>
    <col min="1576" max="1576" width="23.1796875" style="107" bestFit="1" customWidth="1"/>
    <col min="1577" max="1577" width="23.54296875" style="107" bestFit="1" customWidth="1"/>
    <col min="1578" max="1578" width="24.81640625" style="107" bestFit="1" customWidth="1"/>
    <col min="1579" max="1579" width="23.54296875" style="107" bestFit="1" customWidth="1"/>
    <col min="1580" max="1580" width="24.81640625" style="107" bestFit="1" customWidth="1"/>
    <col min="1581" max="1581" width="23.54296875" style="107" bestFit="1" customWidth="1"/>
    <col min="1582" max="1582" width="24.81640625" style="107" bestFit="1" customWidth="1"/>
    <col min="1583" max="1584" width="22.81640625" style="107" bestFit="1" customWidth="1"/>
    <col min="1585" max="1585" width="25" style="107" bestFit="1" customWidth="1"/>
    <col min="1586" max="1586" width="22.81640625" style="107" bestFit="1" customWidth="1"/>
    <col min="1587" max="1587" width="25" style="107" bestFit="1" customWidth="1"/>
    <col min="1588" max="1588" width="22.81640625" style="107" bestFit="1" customWidth="1"/>
    <col min="1589" max="1589" width="25" style="107" bestFit="1" customWidth="1"/>
    <col min="1590" max="1590" width="22.26953125" style="107" bestFit="1" customWidth="1"/>
    <col min="1591" max="1591" width="20.81640625" style="107" bestFit="1" customWidth="1"/>
    <col min="1592" max="1592" width="22.26953125" style="107" bestFit="1" customWidth="1"/>
    <col min="1593" max="1593" width="20.81640625" style="107" bestFit="1" customWidth="1"/>
    <col min="1594" max="1594" width="22.26953125" style="107" bestFit="1" customWidth="1"/>
    <col min="1595" max="1595" width="20.81640625" style="107" bestFit="1" customWidth="1"/>
    <col min="1596" max="1596" width="22.26953125" style="107" bestFit="1" customWidth="1"/>
    <col min="1597" max="1597" width="22" style="107" bestFit="1" customWidth="1"/>
    <col min="1598" max="1598" width="22.26953125" style="107" bestFit="1" customWidth="1"/>
    <col min="1599" max="1599" width="22.7265625" style="107" bestFit="1" customWidth="1"/>
    <col min="1600" max="1600" width="23.81640625" style="107" bestFit="1" customWidth="1"/>
    <col min="1601" max="1601" width="25" style="107" bestFit="1" customWidth="1"/>
    <col min="1602" max="1602" width="23.453125" style="107" bestFit="1" customWidth="1"/>
    <col min="1603" max="1603" width="25" style="107" bestFit="1" customWidth="1"/>
    <col min="1604" max="1604" width="22.26953125" style="107" bestFit="1" customWidth="1"/>
    <col min="1605" max="1605" width="26" style="107" customWidth="1"/>
    <col min="1606" max="1606" width="22.26953125" style="107" bestFit="1" customWidth="1"/>
    <col min="1607" max="1607" width="19.54296875" style="107" bestFit="1" customWidth="1"/>
    <col min="1608" max="1608" width="22.26953125" style="107" bestFit="1" customWidth="1"/>
    <col min="1609" max="1609" width="26" style="107" customWidth="1"/>
    <col min="1610" max="1610" width="23.54296875" style="107" bestFit="1" customWidth="1"/>
    <col min="1611" max="1612" width="23.7265625" style="107" bestFit="1" customWidth="1"/>
    <col min="1613" max="1613" width="25.81640625" style="107" bestFit="1" customWidth="1"/>
    <col min="1614" max="1615" width="25.7265625" style="107" bestFit="1" customWidth="1"/>
    <col min="1616" max="1617" width="23.7265625" style="107" bestFit="1" customWidth="1"/>
    <col min="1618" max="1618" width="23.54296875" style="107" bestFit="1" customWidth="1"/>
    <col min="1619" max="1619" width="25.54296875" style="107" bestFit="1" customWidth="1"/>
    <col min="1620" max="1620" width="23.54296875" style="107" bestFit="1" customWidth="1"/>
    <col min="1621" max="1621" width="23.453125" style="107" bestFit="1" customWidth="1"/>
    <col min="1622" max="1623" width="24.453125" style="107" bestFit="1" customWidth="1"/>
    <col min="1624" max="1624" width="22.7265625" style="107" bestFit="1" customWidth="1"/>
    <col min="1625" max="1625" width="24" style="107" bestFit="1" customWidth="1"/>
    <col min="1626" max="1626" width="22.1796875" style="107" bestFit="1" customWidth="1"/>
    <col min="1627" max="1627" width="18.7265625" style="107" bestFit="1" customWidth="1"/>
    <col min="1628" max="1628" width="14.54296875" style="107" bestFit="1" customWidth="1"/>
    <col min="1629" max="1629" width="22.54296875" style="107" bestFit="1" customWidth="1"/>
    <col min="1630" max="1630" width="23.453125" style="107" bestFit="1" customWidth="1"/>
    <col min="1631" max="1792" width="26" style="107"/>
    <col min="1793" max="1793" width="34.7265625" style="107" customWidth="1"/>
    <col min="1794" max="1794" width="17" style="107" bestFit="1" customWidth="1"/>
    <col min="1795" max="1795" width="20.7265625" style="107" bestFit="1" customWidth="1"/>
    <col min="1796" max="1796" width="12.26953125" style="107" bestFit="1" customWidth="1"/>
    <col min="1797" max="1797" width="25.7265625" style="107" bestFit="1" customWidth="1"/>
    <col min="1798" max="1798" width="24.7265625" style="107" bestFit="1" customWidth="1"/>
    <col min="1799" max="1799" width="25.7265625" style="107" bestFit="1" customWidth="1"/>
    <col min="1800" max="1800" width="23.81640625" style="107" bestFit="1" customWidth="1"/>
    <col min="1801" max="1801" width="25.7265625" style="107" bestFit="1" customWidth="1"/>
    <col min="1802" max="1802" width="26" style="107" customWidth="1"/>
    <col min="1803" max="1803" width="25.7265625" style="107" bestFit="1" customWidth="1"/>
    <col min="1804" max="1804" width="26" style="107" customWidth="1"/>
    <col min="1805" max="1805" width="25.7265625" style="107" bestFit="1" customWidth="1"/>
    <col min="1806" max="1806" width="25.54296875" style="107" bestFit="1" customWidth="1"/>
    <col min="1807" max="1807" width="25.7265625" style="107" bestFit="1" customWidth="1"/>
    <col min="1808" max="1808" width="25.54296875" style="107" bestFit="1" customWidth="1"/>
    <col min="1809" max="1809" width="25.7265625" style="107" bestFit="1" customWidth="1"/>
    <col min="1810" max="1810" width="24.81640625" style="107" bestFit="1" customWidth="1"/>
    <col min="1811" max="1811" width="23.7265625" style="107" bestFit="1" customWidth="1"/>
    <col min="1812" max="1812" width="24.81640625" style="107" bestFit="1" customWidth="1"/>
    <col min="1813" max="1813" width="23.7265625" style="107" bestFit="1" customWidth="1"/>
    <col min="1814" max="1814" width="24.81640625" style="107" bestFit="1" customWidth="1"/>
    <col min="1815" max="1820" width="25.7265625" style="107" bestFit="1" customWidth="1"/>
    <col min="1821" max="1827" width="22.81640625" style="107" bestFit="1" customWidth="1"/>
    <col min="1828" max="1828" width="23.1796875" style="107" bestFit="1" customWidth="1"/>
    <col min="1829" max="1829" width="22.81640625" style="107" bestFit="1" customWidth="1"/>
    <col min="1830" max="1830" width="23.1796875" style="107" bestFit="1" customWidth="1"/>
    <col min="1831" max="1831" width="22.81640625" style="107" bestFit="1" customWidth="1"/>
    <col min="1832" max="1832" width="23.1796875" style="107" bestFit="1" customWidth="1"/>
    <col min="1833" max="1833" width="23.54296875" style="107" bestFit="1" customWidth="1"/>
    <col min="1834" max="1834" width="24.81640625" style="107" bestFit="1" customWidth="1"/>
    <col min="1835" max="1835" width="23.54296875" style="107" bestFit="1" customWidth="1"/>
    <col min="1836" max="1836" width="24.81640625" style="107" bestFit="1" customWidth="1"/>
    <col min="1837" max="1837" width="23.54296875" style="107" bestFit="1" customWidth="1"/>
    <col min="1838" max="1838" width="24.81640625" style="107" bestFit="1" customWidth="1"/>
    <col min="1839" max="1840" width="22.81640625" style="107" bestFit="1" customWidth="1"/>
    <col min="1841" max="1841" width="25" style="107" bestFit="1" customWidth="1"/>
    <col min="1842" max="1842" width="22.81640625" style="107" bestFit="1" customWidth="1"/>
    <col min="1843" max="1843" width="25" style="107" bestFit="1" customWidth="1"/>
    <col min="1844" max="1844" width="22.81640625" style="107" bestFit="1" customWidth="1"/>
    <col min="1845" max="1845" width="25" style="107" bestFit="1" customWidth="1"/>
    <col min="1846" max="1846" width="22.26953125" style="107" bestFit="1" customWidth="1"/>
    <col min="1847" max="1847" width="20.81640625" style="107" bestFit="1" customWidth="1"/>
    <col min="1848" max="1848" width="22.26953125" style="107" bestFit="1" customWidth="1"/>
    <col min="1849" max="1849" width="20.81640625" style="107" bestFit="1" customWidth="1"/>
    <col min="1850" max="1850" width="22.26953125" style="107" bestFit="1" customWidth="1"/>
    <col min="1851" max="1851" width="20.81640625" style="107" bestFit="1" customWidth="1"/>
    <col min="1852" max="1852" width="22.26953125" style="107" bestFit="1" customWidth="1"/>
    <col min="1853" max="1853" width="22" style="107" bestFit="1" customWidth="1"/>
    <col min="1854" max="1854" width="22.26953125" style="107" bestFit="1" customWidth="1"/>
    <col min="1855" max="1855" width="22.7265625" style="107" bestFit="1" customWidth="1"/>
    <col min="1856" max="1856" width="23.81640625" style="107" bestFit="1" customWidth="1"/>
    <col min="1857" max="1857" width="25" style="107" bestFit="1" customWidth="1"/>
    <col min="1858" max="1858" width="23.453125" style="107" bestFit="1" customWidth="1"/>
    <col min="1859" max="1859" width="25" style="107" bestFit="1" customWidth="1"/>
    <col min="1860" max="1860" width="22.26953125" style="107" bestFit="1" customWidth="1"/>
    <col min="1861" max="1861" width="26" style="107" customWidth="1"/>
    <col min="1862" max="1862" width="22.26953125" style="107" bestFit="1" customWidth="1"/>
    <col min="1863" max="1863" width="19.54296875" style="107" bestFit="1" customWidth="1"/>
    <col min="1864" max="1864" width="22.26953125" style="107" bestFit="1" customWidth="1"/>
    <col min="1865" max="1865" width="26" style="107" customWidth="1"/>
    <col min="1866" max="1866" width="23.54296875" style="107" bestFit="1" customWidth="1"/>
    <col min="1867" max="1868" width="23.7265625" style="107" bestFit="1" customWidth="1"/>
    <col min="1869" max="1869" width="25.81640625" style="107" bestFit="1" customWidth="1"/>
    <col min="1870" max="1871" width="25.7265625" style="107" bestFit="1" customWidth="1"/>
    <col min="1872" max="1873" width="23.7265625" style="107" bestFit="1" customWidth="1"/>
    <col min="1874" max="1874" width="23.54296875" style="107" bestFit="1" customWidth="1"/>
    <col min="1875" max="1875" width="25.54296875" style="107" bestFit="1" customWidth="1"/>
    <col min="1876" max="1876" width="23.54296875" style="107" bestFit="1" customWidth="1"/>
    <col min="1877" max="1877" width="23.453125" style="107" bestFit="1" customWidth="1"/>
    <col min="1878" max="1879" width="24.453125" style="107" bestFit="1" customWidth="1"/>
    <col min="1880" max="1880" width="22.7265625" style="107" bestFit="1" customWidth="1"/>
    <col min="1881" max="1881" width="24" style="107" bestFit="1" customWidth="1"/>
    <col min="1882" max="1882" width="22.1796875" style="107" bestFit="1" customWidth="1"/>
    <col min="1883" max="1883" width="18.7265625" style="107" bestFit="1" customWidth="1"/>
    <col min="1884" max="1884" width="14.54296875" style="107" bestFit="1" customWidth="1"/>
    <col min="1885" max="1885" width="22.54296875" style="107" bestFit="1" customWidth="1"/>
    <col min="1886" max="1886" width="23.453125" style="107" bestFit="1" customWidth="1"/>
    <col min="1887" max="2048" width="26" style="107"/>
    <col min="2049" max="2049" width="34.7265625" style="107" customWidth="1"/>
    <col min="2050" max="2050" width="17" style="107" bestFit="1" customWidth="1"/>
    <col min="2051" max="2051" width="20.7265625" style="107" bestFit="1" customWidth="1"/>
    <col min="2052" max="2052" width="12.26953125" style="107" bestFit="1" customWidth="1"/>
    <col min="2053" max="2053" width="25.7265625" style="107" bestFit="1" customWidth="1"/>
    <col min="2054" max="2054" width="24.7265625" style="107" bestFit="1" customWidth="1"/>
    <col min="2055" max="2055" width="25.7265625" style="107" bestFit="1" customWidth="1"/>
    <col min="2056" max="2056" width="23.81640625" style="107" bestFit="1" customWidth="1"/>
    <col min="2057" max="2057" width="25.7265625" style="107" bestFit="1" customWidth="1"/>
    <col min="2058" max="2058" width="26" style="107" customWidth="1"/>
    <col min="2059" max="2059" width="25.7265625" style="107" bestFit="1" customWidth="1"/>
    <col min="2060" max="2060" width="26" style="107" customWidth="1"/>
    <col min="2061" max="2061" width="25.7265625" style="107" bestFit="1" customWidth="1"/>
    <col min="2062" max="2062" width="25.54296875" style="107" bestFit="1" customWidth="1"/>
    <col min="2063" max="2063" width="25.7265625" style="107" bestFit="1" customWidth="1"/>
    <col min="2064" max="2064" width="25.54296875" style="107" bestFit="1" customWidth="1"/>
    <col min="2065" max="2065" width="25.7265625" style="107" bestFit="1" customWidth="1"/>
    <col min="2066" max="2066" width="24.81640625" style="107" bestFit="1" customWidth="1"/>
    <col min="2067" max="2067" width="23.7265625" style="107" bestFit="1" customWidth="1"/>
    <col min="2068" max="2068" width="24.81640625" style="107" bestFit="1" customWidth="1"/>
    <col min="2069" max="2069" width="23.7265625" style="107" bestFit="1" customWidth="1"/>
    <col min="2070" max="2070" width="24.81640625" style="107" bestFit="1" customWidth="1"/>
    <col min="2071" max="2076" width="25.7265625" style="107" bestFit="1" customWidth="1"/>
    <col min="2077" max="2083" width="22.81640625" style="107" bestFit="1" customWidth="1"/>
    <col min="2084" max="2084" width="23.1796875" style="107" bestFit="1" customWidth="1"/>
    <col min="2085" max="2085" width="22.81640625" style="107" bestFit="1" customWidth="1"/>
    <col min="2086" max="2086" width="23.1796875" style="107" bestFit="1" customWidth="1"/>
    <col min="2087" max="2087" width="22.81640625" style="107" bestFit="1" customWidth="1"/>
    <col min="2088" max="2088" width="23.1796875" style="107" bestFit="1" customWidth="1"/>
    <col min="2089" max="2089" width="23.54296875" style="107" bestFit="1" customWidth="1"/>
    <col min="2090" max="2090" width="24.81640625" style="107" bestFit="1" customWidth="1"/>
    <col min="2091" max="2091" width="23.54296875" style="107" bestFit="1" customWidth="1"/>
    <col min="2092" max="2092" width="24.81640625" style="107" bestFit="1" customWidth="1"/>
    <col min="2093" max="2093" width="23.54296875" style="107" bestFit="1" customWidth="1"/>
    <col min="2094" max="2094" width="24.81640625" style="107" bestFit="1" customWidth="1"/>
    <col min="2095" max="2096" width="22.81640625" style="107" bestFit="1" customWidth="1"/>
    <col min="2097" max="2097" width="25" style="107" bestFit="1" customWidth="1"/>
    <col min="2098" max="2098" width="22.81640625" style="107" bestFit="1" customWidth="1"/>
    <col min="2099" max="2099" width="25" style="107" bestFit="1" customWidth="1"/>
    <col min="2100" max="2100" width="22.81640625" style="107" bestFit="1" customWidth="1"/>
    <col min="2101" max="2101" width="25" style="107" bestFit="1" customWidth="1"/>
    <col min="2102" max="2102" width="22.26953125" style="107" bestFit="1" customWidth="1"/>
    <col min="2103" max="2103" width="20.81640625" style="107" bestFit="1" customWidth="1"/>
    <col min="2104" max="2104" width="22.26953125" style="107" bestFit="1" customWidth="1"/>
    <col min="2105" max="2105" width="20.81640625" style="107" bestFit="1" customWidth="1"/>
    <col min="2106" max="2106" width="22.26953125" style="107" bestFit="1" customWidth="1"/>
    <col min="2107" max="2107" width="20.81640625" style="107" bestFit="1" customWidth="1"/>
    <col min="2108" max="2108" width="22.26953125" style="107" bestFit="1" customWidth="1"/>
    <col min="2109" max="2109" width="22" style="107" bestFit="1" customWidth="1"/>
    <col min="2110" max="2110" width="22.26953125" style="107" bestFit="1" customWidth="1"/>
    <col min="2111" max="2111" width="22.7265625" style="107" bestFit="1" customWidth="1"/>
    <col min="2112" max="2112" width="23.81640625" style="107" bestFit="1" customWidth="1"/>
    <col min="2113" max="2113" width="25" style="107" bestFit="1" customWidth="1"/>
    <col min="2114" max="2114" width="23.453125" style="107" bestFit="1" customWidth="1"/>
    <col min="2115" max="2115" width="25" style="107" bestFit="1" customWidth="1"/>
    <col min="2116" max="2116" width="22.26953125" style="107" bestFit="1" customWidth="1"/>
    <col min="2117" max="2117" width="26" style="107" customWidth="1"/>
    <col min="2118" max="2118" width="22.26953125" style="107" bestFit="1" customWidth="1"/>
    <col min="2119" max="2119" width="19.54296875" style="107" bestFit="1" customWidth="1"/>
    <col min="2120" max="2120" width="22.26953125" style="107" bestFit="1" customWidth="1"/>
    <col min="2121" max="2121" width="26" style="107" customWidth="1"/>
    <col min="2122" max="2122" width="23.54296875" style="107" bestFit="1" customWidth="1"/>
    <col min="2123" max="2124" width="23.7265625" style="107" bestFit="1" customWidth="1"/>
    <col min="2125" max="2125" width="25.81640625" style="107" bestFit="1" customWidth="1"/>
    <col min="2126" max="2127" width="25.7265625" style="107" bestFit="1" customWidth="1"/>
    <col min="2128" max="2129" width="23.7265625" style="107" bestFit="1" customWidth="1"/>
    <col min="2130" max="2130" width="23.54296875" style="107" bestFit="1" customWidth="1"/>
    <col min="2131" max="2131" width="25.54296875" style="107" bestFit="1" customWidth="1"/>
    <col min="2132" max="2132" width="23.54296875" style="107" bestFit="1" customWidth="1"/>
    <col min="2133" max="2133" width="23.453125" style="107" bestFit="1" customWidth="1"/>
    <col min="2134" max="2135" width="24.453125" style="107" bestFit="1" customWidth="1"/>
    <col min="2136" max="2136" width="22.7265625" style="107" bestFit="1" customWidth="1"/>
    <col min="2137" max="2137" width="24" style="107" bestFit="1" customWidth="1"/>
    <col min="2138" max="2138" width="22.1796875" style="107" bestFit="1" customWidth="1"/>
    <col min="2139" max="2139" width="18.7265625" style="107" bestFit="1" customWidth="1"/>
    <col min="2140" max="2140" width="14.54296875" style="107" bestFit="1" customWidth="1"/>
    <col min="2141" max="2141" width="22.54296875" style="107" bestFit="1" customWidth="1"/>
    <col min="2142" max="2142" width="23.453125" style="107" bestFit="1" customWidth="1"/>
    <col min="2143" max="2304" width="26" style="107"/>
    <col min="2305" max="2305" width="34.7265625" style="107" customWidth="1"/>
    <col min="2306" max="2306" width="17" style="107" bestFit="1" customWidth="1"/>
    <col min="2307" max="2307" width="20.7265625" style="107" bestFit="1" customWidth="1"/>
    <col min="2308" max="2308" width="12.26953125" style="107" bestFit="1" customWidth="1"/>
    <col min="2309" max="2309" width="25.7265625" style="107" bestFit="1" customWidth="1"/>
    <col min="2310" max="2310" width="24.7265625" style="107" bestFit="1" customWidth="1"/>
    <col min="2311" max="2311" width="25.7265625" style="107" bestFit="1" customWidth="1"/>
    <col min="2312" max="2312" width="23.81640625" style="107" bestFit="1" customWidth="1"/>
    <col min="2313" max="2313" width="25.7265625" style="107" bestFit="1" customWidth="1"/>
    <col min="2314" max="2314" width="26" style="107" customWidth="1"/>
    <col min="2315" max="2315" width="25.7265625" style="107" bestFit="1" customWidth="1"/>
    <col min="2316" max="2316" width="26" style="107" customWidth="1"/>
    <col min="2317" max="2317" width="25.7265625" style="107" bestFit="1" customWidth="1"/>
    <col min="2318" max="2318" width="25.54296875" style="107" bestFit="1" customWidth="1"/>
    <col min="2319" max="2319" width="25.7265625" style="107" bestFit="1" customWidth="1"/>
    <col min="2320" max="2320" width="25.54296875" style="107" bestFit="1" customWidth="1"/>
    <col min="2321" max="2321" width="25.7265625" style="107" bestFit="1" customWidth="1"/>
    <col min="2322" max="2322" width="24.81640625" style="107" bestFit="1" customWidth="1"/>
    <col min="2323" max="2323" width="23.7265625" style="107" bestFit="1" customWidth="1"/>
    <col min="2324" max="2324" width="24.81640625" style="107" bestFit="1" customWidth="1"/>
    <col min="2325" max="2325" width="23.7265625" style="107" bestFit="1" customWidth="1"/>
    <col min="2326" max="2326" width="24.81640625" style="107" bestFit="1" customWidth="1"/>
    <col min="2327" max="2332" width="25.7265625" style="107" bestFit="1" customWidth="1"/>
    <col min="2333" max="2339" width="22.81640625" style="107" bestFit="1" customWidth="1"/>
    <col min="2340" max="2340" width="23.1796875" style="107" bestFit="1" customWidth="1"/>
    <col min="2341" max="2341" width="22.81640625" style="107" bestFit="1" customWidth="1"/>
    <col min="2342" max="2342" width="23.1796875" style="107" bestFit="1" customWidth="1"/>
    <col min="2343" max="2343" width="22.81640625" style="107" bestFit="1" customWidth="1"/>
    <col min="2344" max="2344" width="23.1796875" style="107" bestFit="1" customWidth="1"/>
    <col min="2345" max="2345" width="23.54296875" style="107" bestFit="1" customWidth="1"/>
    <col min="2346" max="2346" width="24.81640625" style="107" bestFit="1" customWidth="1"/>
    <col min="2347" max="2347" width="23.54296875" style="107" bestFit="1" customWidth="1"/>
    <col min="2348" max="2348" width="24.81640625" style="107" bestFit="1" customWidth="1"/>
    <col min="2349" max="2349" width="23.54296875" style="107" bestFit="1" customWidth="1"/>
    <col min="2350" max="2350" width="24.81640625" style="107" bestFit="1" customWidth="1"/>
    <col min="2351" max="2352" width="22.81640625" style="107" bestFit="1" customWidth="1"/>
    <col min="2353" max="2353" width="25" style="107" bestFit="1" customWidth="1"/>
    <col min="2354" max="2354" width="22.81640625" style="107" bestFit="1" customWidth="1"/>
    <col min="2355" max="2355" width="25" style="107" bestFit="1" customWidth="1"/>
    <col min="2356" max="2356" width="22.81640625" style="107" bestFit="1" customWidth="1"/>
    <col min="2357" max="2357" width="25" style="107" bestFit="1" customWidth="1"/>
    <col min="2358" max="2358" width="22.26953125" style="107" bestFit="1" customWidth="1"/>
    <col min="2359" max="2359" width="20.81640625" style="107" bestFit="1" customWidth="1"/>
    <col min="2360" max="2360" width="22.26953125" style="107" bestFit="1" customWidth="1"/>
    <col min="2361" max="2361" width="20.81640625" style="107" bestFit="1" customWidth="1"/>
    <col min="2362" max="2362" width="22.26953125" style="107" bestFit="1" customWidth="1"/>
    <col min="2363" max="2363" width="20.81640625" style="107" bestFit="1" customWidth="1"/>
    <col min="2364" max="2364" width="22.26953125" style="107" bestFit="1" customWidth="1"/>
    <col min="2365" max="2365" width="22" style="107" bestFit="1" customWidth="1"/>
    <col min="2366" max="2366" width="22.26953125" style="107" bestFit="1" customWidth="1"/>
    <col min="2367" max="2367" width="22.7265625" style="107" bestFit="1" customWidth="1"/>
    <col min="2368" max="2368" width="23.81640625" style="107" bestFit="1" customWidth="1"/>
    <col min="2369" max="2369" width="25" style="107" bestFit="1" customWidth="1"/>
    <col min="2370" max="2370" width="23.453125" style="107" bestFit="1" customWidth="1"/>
    <col min="2371" max="2371" width="25" style="107" bestFit="1" customWidth="1"/>
    <col min="2372" max="2372" width="22.26953125" style="107" bestFit="1" customWidth="1"/>
    <col min="2373" max="2373" width="26" style="107" customWidth="1"/>
    <col min="2374" max="2374" width="22.26953125" style="107" bestFit="1" customWidth="1"/>
    <col min="2375" max="2375" width="19.54296875" style="107" bestFit="1" customWidth="1"/>
    <col min="2376" max="2376" width="22.26953125" style="107" bestFit="1" customWidth="1"/>
    <col min="2377" max="2377" width="26" style="107" customWidth="1"/>
    <col min="2378" max="2378" width="23.54296875" style="107" bestFit="1" customWidth="1"/>
    <col min="2379" max="2380" width="23.7265625" style="107" bestFit="1" customWidth="1"/>
    <col min="2381" max="2381" width="25.81640625" style="107" bestFit="1" customWidth="1"/>
    <col min="2382" max="2383" width="25.7265625" style="107" bestFit="1" customWidth="1"/>
    <col min="2384" max="2385" width="23.7265625" style="107" bestFit="1" customWidth="1"/>
    <col min="2386" max="2386" width="23.54296875" style="107" bestFit="1" customWidth="1"/>
    <col min="2387" max="2387" width="25.54296875" style="107" bestFit="1" customWidth="1"/>
    <col min="2388" max="2388" width="23.54296875" style="107" bestFit="1" customWidth="1"/>
    <col min="2389" max="2389" width="23.453125" style="107" bestFit="1" customWidth="1"/>
    <col min="2390" max="2391" width="24.453125" style="107" bestFit="1" customWidth="1"/>
    <col min="2392" max="2392" width="22.7265625" style="107" bestFit="1" customWidth="1"/>
    <col min="2393" max="2393" width="24" style="107" bestFit="1" customWidth="1"/>
    <col min="2394" max="2394" width="22.1796875" style="107" bestFit="1" customWidth="1"/>
    <col min="2395" max="2395" width="18.7265625" style="107" bestFit="1" customWidth="1"/>
    <col min="2396" max="2396" width="14.54296875" style="107" bestFit="1" customWidth="1"/>
    <col min="2397" max="2397" width="22.54296875" style="107" bestFit="1" customWidth="1"/>
    <col min="2398" max="2398" width="23.453125" style="107" bestFit="1" customWidth="1"/>
    <col min="2399" max="2560" width="26" style="107"/>
    <col min="2561" max="2561" width="34.7265625" style="107" customWidth="1"/>
    <col min="2562" max="2562" width="17" style="107" bestFit="1" customWidth="1"/>
    <col min="2563" max="2563" width="20.7265625" style="107" bestFit="1" customWidth="1"/>
    <col min="2564" max="2564" width="12.26953125" style="107" bestFit="1" customWidth="1"/>
    <col min="2565" max="2565" width="25.7265625" style="107" bestFit="1" customWidth="1"/>
    <col min="2566" max="2566" width="24.7265625" style="107" bestFit="1" customWidth="1"/>
    <col min="2567" max="2567" width="25.7265625" style="107" bestFit="1" customWidth="1"/>
    <col min="2568" max="2568" width="23.81640625" style="107" bestFit="1" customWidth="1"/>
    <col min="2569" max="2569" width="25.7265625" style="107" bestFit="1" customWidth="1"/>
    <col min="2570" max="2570" width="26" style="107" customWidth="1"/>
    <col min="2571" max="2571" width="25.7265625" style="107" bestFit="1" customWidth="1"/>
    <col min="2572" max="2572" width="26" style="107" customWidth="1"/>
    <col min="2573" max="2573" width="25.7265625" style="107" bestFit="1" customWidth="1"/>
    <col min="2574" max="2574" width="25.54296875" style="107" bestFit="1" customWidth="1"/>
    <col min="2575" max="2575" width="25.7265625" style="107" bestFit="1" customWidth="1"/>
    <col min="2576" max="2576" width="25.54296875" style="107" bestFit="1" customWidth="1"/>
    <col min="2577" max="2577" width="25.7265625" style="107" bestFit="1" customWidth="1"/>
    <col min="2578" max="2578" width="24.81640625" style="107" bestFit="1" customWidth="1"/>
    <col min="2579" max="2579" width="23.7265625" style="107" bestFit="1" customWidth="1"/>
    <col min="2580" max="2580" width="24.81640625" style="107" bestFit="1" customWidth="1"/>
    <col min="2581" max="2581" width="23.7265625" style="107" bestFit="1" customWidth="1"/>
    <col min="2582" max="2582" width="24.81640625" style="107" bestFit="1" customWidth="1"/>
    <col min="2583" max="2588" width="25.7265625" style="107" bestFit="1" customWidth="1"/>
    <col min="2589" max="2595" width="22.81640625" style="107" bestFit="1" customWidth="1"/>
    <col min="2596" max="2596" width="23.1796875" style="107" bestFit="1" customWidth="1"/>
    <col min="2597" max="2597" width="22.81640625" style="107" bestFit="1" customWidth="1"/>
    <col min="2598" max="2598" width="23.1796875" style="107" bestFit="1" customWidth="1"/>
    <col min="2599" max="2599" width="22.81640625" style="107" bestFit="1" customWidth="1"/>
    <col min="2600" max="2600" width="23.1796875" style="107" bestFit="1" customWidth="1"/>
    <col min="2601" max="2601" width="23.54296875" style="107" bestFit="1" customWidth="1"/>
    <col min="2602" max="2602" width="24.81640625" style="107" bestFit="1" customWidth="1"/>
    <col min="2603" max="2603" width="23.54296875" style="107" bestFit="1" customWidth="1"/>
    <col min="2604" max="2604" width="24.81640625" style="107" bestFit="1" customWidth="1"/>
    <col min="2605" max="2605" width="23.54296875" style="107" bestFit="1" customWidth="1"/>
    <col min="2606" max="2606" width="24.81640625" style="107" bestFit="1" customWidth="1"/>
    <col min="2607" max="2608" width="22.81640625" style="107" bestFit="1" customWidth="1"/>
    <col min="2609" max="2609" width="25" style="107" bestFit="1" customWidth="1"/>
    <col min="2610" max="2610" width="22.81640625" style="107" bestFit="1" customWidth="1"/>
    <col min="2611" max="2611" width="25" style="107" bestFit="1" customWidth="1"/>
    <col min="2612" max="2612" width="22.81640625" style="107" bestFit="1" customWidth="1"/>
    <col min="2613" max="2613" width="25" style="107" bestFit="1" customWidth="1"/>
    <col min="2614" max="2614" width="22.26953125" style="107" bestFit="1" customWidth="1"/>
    <col min="2615" max="2615" width="20.81640625" style="107" bestFit="1" customWidth="1"/>
    <col min="2616" max="2616" width="22.26953125" style="107" bestFit="1" customWidth="1"/>
    <col min="2617" max="2617" width="20.81640625" style="107" bestFit="1" customWidth="1"/>
    <col min="2618" max="2618" width="22.26953125" style="107" bestFit="1" customWidth="1"/>
    <col min="2619" max="2619" width="20.81640625" style="107" bestFit="1" customWidth="1"/>
    <col min="2620" max="2620" width="22.26953125" style="107" bestFit="1" customWidth="1"/>
    <col min="2621" max="2621" width="22" style="107" bestFit="1" customWidth="1"/>
    <col min="2622" max="2622" width="22.26953125" style="107" bestFit="1" customWidth="1"/>
    <col min="2623" max="2623" width="22.7265625" style="107" bestFit="1" customWidth="1"/>
    <col min="2624" max="2624" width="23.81640625" style="107" bestFit="1" customWidth="1"/>
    <col min="2625" max="2625" width="25" style="107" bestFit="1" customWidth="1"/>
    <col min="2626" max="2626" width="23.453125" style="107" bestFit="1" customWidth="1"/>
    <col min="2627" max="2627" width="25" style="107" bestFit="1" customWidth="1"/>
    <col min="2628" max="2628" width="22.26953125" style="107" bestFit="1" customWidth="1"/>
    <col min="2629" max="2629" width="26" style="107" customWidth="1"/>
    <col min="2630" max="2630" width="22.26953125" style="107" bestFit="1" customWidth="1"/>
    <col min="2631" max="2631" width="19.54296875" style="107" bestFit="1" customWidth="1"/>
    <col min="2632" max="2632" width="22.26953125" style="107" bestFit="1" customWidth="1"/>
    <col min="2633" max="2633" width="26" style="107" customWidth="1"/>
    <col min="2634" max="2634" width="23.54296875" style="107" bestFit="1" customWidth="1"/>
    <col min="2635" max="2636" width="23.7265625" style="107" bestFit="1" customWidth="1"/>
    <col min="2637" max="2637" width="25.81640625" style="107" bestFit="1" customWidth="1"/>
    <col min="2638" max="2639" width="25.7265625" style="107" bestFit="1" customWidth="1"/>
    <col min="2640" max="2641" width="23.7265625" style="107" bestFit="1" customWidth="1"/>
    <col min="2642" max="2642" width="23.54296875" style="107" bestFit="1" customWidth="1"/>
    <col min="2643" max="2643" width="25.54296875" style="107" bestFit="1" customWidth="1"/>
    <col min="2644" max="2644" width="23.54296875" style="107" bestFit="1" customWidth="1"/>
    <col min="2645" max="2645" width="23.453125" style="107" bestFit="1" customWidth="1"/>
    <col min="2646" max="2647" width="24.453125" style="107" bestFit="1" customWidth="1"/>
    <col min="2648" max="2648" width="22.7265625" style="107" bestFit="1" customWidth="1"/>
    <col min="2649" max="2649" width="24" style="107" bestFit="1" customWidth="1"/>
    <col min="2650" max="2650" width="22.1796875" style="107" bestFit="1" customWidth="1"/>
    <col min="2651" max="2651" width="18.7265625" style="107" bestFit="1" customWidth="1"/>
    <col min="2652" max="2652" width="14.54296875" style="107" bestFit="1" customWidth="1"/>
    <col min="2653" max="2653" width="22.54296875" style="107" bestFit="1" customWidth="1"/>
    <col min="2654" max="2654" width="23.453125" style="107" bestFit="1" customWidth="1"/>
    <col min="2655" max="2816" width="26" style="107"/>
    <col min="2817" max="2817" width="34.7265625" style="107" customWidth="1"/>
    <col min="2818" max="2818" width="17" style="107" bestFit="1" customWidth="1"/>
    <col min="2819" max="2819" width="20.7265625" style="107" bestFit="1" customWidth="1"/>
    <col min="2820" max="2820" width="12.26953125" style="107" bestFit="1" customWidth="1"/>
    <col min="2821" max="2821" width="25.7265625" style="107" bestFit="1" customWidth="1"/>
    <col min="2822" max="2822" width="24.7265625" style="107" bestFit="1" customWidth="1"/>
    <col min="2823" max="2823" width="25.7265625" style="107" bestFit="1" customWidth="1"/>
    <col min="2824" max="2824" width="23.81640625" style="107" bestFit="1" customWidth="1"/>
    <col min="2825" max="2825" width="25.7265625" style="107" bestFit="1" customWidth="1"/>
    <col min="2826" max="2826" width="26" style="107" customWidth="1"/>
    <col min="2827" max="2827" width="25.7265625" style="107" bestFit="1" customWidth="1"/>
    <col min="2828" max="2828" width="26" style="107" customWidth="1"/>
    <col min="2829" max="2829" width="25.7265625" style="107" bestFit="1" customWidth="1"/>
    <col min="2830" max="2830" width="25.54296875" style="107" bestFit="1" customWidth="1"/>
    <col min="2831" max="2831" width="25.7265625" style="107" bestFit="1" customWidth="1"/>
    <col min="2832" max="2832" width="25.54296875" style="107" bestFit="1" customWidth="1"/>
    <col min="2833" max="2833" width="25.7265625" style="107" bestFit="1" customWidth="1"/>
    <col min="2834" max="2834" width="24.81640625" style="107" bestFit="1" customWidth="1"/>
    <col min="2835" max="2835" width="23.7265625" style="107" bestFit="1" customWidth="1"/>
    <col min="2836" max="2836" width="24.81640625" style="107" bestFit="1" customWidth="1"/>
    <col min="2837" max="2837" width="23.7265625" style="107" bestFit="1" customWidth="1"/>
    <col min="2838" max="2838" width="24.81640625" style="107" bestFit="1" customWidth="1"/>
    <col min="2839" max="2844" width="25.7265625" style="107" bestFit="1" customWidth="1"/>
    <col min="2845" max="2851" width="22.81640625" style="107" bestFit="1" customWidth="1"/>
    <col min="2852" max="2852" width="23.1796875" style="107" bestFit="1" customWidth="1"/>
    <col min="2853" max="2853" width="22.81640625" style="107" bestFit="1" customWidth="1"/>
    <col min="2854" max="2854" width="23.1796875" style="107" bestFit="1" customWidth="1"/>
    <col min="2855" max="2855" width="22.81640625" style="107" bestFit="1" customWidth="1"/>
    <col min="2856" max="2856" width="23.1796875" style="107" bestFit="1" customWidth="1"/>
    <col min="2857" max="2857" width="23.54296875" style="107" bestFit="1" customWidth="1"/>
    <col min="2858" max="2858" width="24.81640625" style="107" bestFit="1" customWidth="1"/>
    <col min="2859" max="2859" width="23.54296875" style="107" bestFit="1" customWidth="1"/>
    <col min="2860" max="2860" width="24.81640625" style="107" bestFit="1" customWidth="1"/>
    <col min="2861" max="2861" width="23.54296875" style="107" bestFit="1" customWidth="1"/>
    <col min="2862" max="2862" width="24.81640625" style="107" bestFit="1" customWidth="1"/>
    <col min="2863" max="2864" width="22.81640625" style="107" bestFit="1" customWidth="1"/>
    <col min="2865" max="2865" width="25" style="107" bestFit="1" customWidth="1"/>
    <col min="2866" max="2866" width="22.81640625" style="107" bestFit="1" customWidth="1"/>
    <col min="2867" max="2867" width="25" style="107" bestFit="1" customWidth="1"/>
    <col min="2868" max="2868" width="22.81640625" style="107" bestFit="1" customWidth="1"/>
    <col min="2869" max="2869" width="25" style="107" bestFit="1" customWidth="1"/>
    <col min="2870" max="2870" width="22.26953125" style="107" bestFit="1" customWidth="1"/>
    <col min="2871" max="2871" width="20.81640625" style="107" bestFit="1" customWidth="1"/>
    <col min="2872" max="2872" width="22.26953125" style="107" bestFit="1" customWidth="1"/>
    <col min="2873" max="2873" width="20.81640625" style="107" bestFit="1" customWidth="1"/>
    <col min="2874" max="2874" width="22.26953125" style="107" bestFit="1" customWidth="1"/>
    <col min="2875" max="2875" width="20.81640625" style="107" bestFit="1" customWidth="1"/>
    <col min="2876" max="2876" width="22.26953125" style="107" bestFit="1" customWidth="1"/>
    <col min="2877" max="2877" width="22" style="107" bestFit="1" customWidth="1"/>
    <col min="2878" max="2878" width="22.26953125" style="107" bestFit="1" customWidth="1"/>
    <col min="2879" max="2879" width="22.7265625" style="107" bestFit="1" customWidth="1"/>
    <col min="2880" max="2880" width="23.81640625" style="107" bestFit="1" customWidth="1"/>
    <col min="2881" max="2881" width="25" style="107" bestFit="1" customWidth="1"/>
    <col min="2882" max="2882" width="23.453125" style="107" bestFit="1" customWidth="1"/>
    <col min="2883" max="2883" width="25" style="107" bestFit="1" customWidth="1"/>
    <col min="2884" max="2884" width="22.26953125" style="107" bestFit="1" customWidth="1"/>
    <col min="2885" max="2885" width="26" style="107" customWidth="1"/>
    <col min="2886" max="2886" width="22.26953125" style="107" bestFit="1" customWidth="1"/>
    <col min="2887" max="2887" width="19.54296875" style="107" bestFit="1" customWidth="1"/>
    <col min="2888" max="2888" width="22.26953125" style="107" bestFit="1" customWidth="1"/>
    <col min="2889" max="2889" width="26" style="107" customWidth="1"/>
    <col min="2890" max="2890" width="23.54296875" style="107" bestFit="1" customWidth="1"/>
    <col min="2891" max="2892" width="23.7265625" style="107" bestFit="1" customWidth="1"/>
    <col min="2893" max="2893" width="25.81640625" style="107" bestFit="1" customWidth="1"/>
    <col min="2894" max="2895" width="25.7265625" style="107" bestFit="1" customWidth="1"/>
    <col min="2896" max="2897" width="23.7265625" style="107" bestFit="1" customWidth="1"/>
    <col min="2898" max="2898" width="23.54296875" style="107" bestFit="1" customWidth="1"/>
    <col min="2899" max="2899" width="25.54296875" style="107" bestFit="1" customWidth="1"/>
    <col min="2900" max="2900" width="23.54296875" style="107" bestFit="1" customWidth="1"/>
    <col min="2901" max="2901" width="23.453125" style="107" bestFit="1" customWidth="1"/>
    <col min="2902" max="2903" width="24.453125" style="107" bestFit="1" customWidth="1"/>
    <col min="2904" max="2904" width="22.7265625" style="107" bestFit="1" customWidth="1"/>
    <col min="2905" max="2905" width="24" style="107" bestFit="1" customWidth="1"/>
    <col min="2906" max="2906" width="22.1796875" style="107" bestFit="1" customWidth="1"/>
    <col min="2907" max="2907" width="18.7265625" style="107" bestFit="1" customWidth="1"/>
    <col min="2908" max="2908" width="14.54296875" style="107" bestFit="1" customWidth="1"/>
    <col min="2909" max="2909" width="22.54296875" style="107" bestFit="1" customWidth="1"/>
    <col min="2910" max="2910" width="23.453125" style="107" bestFit="1" customWidth="1"/>
    <col min="2911" max="3072" width="26" style="107"/>
    <col min="3073" max="3073" width="34.7265625" style="107" customWidth="1"/>
    <col min="3074" max="3074" width="17" style="107" bestFit="1" customWidth="1"/>
    <col min="3075" max="3075" width="20.7265625" style="107" bestFit="1" customWidth="1"/>
    <col min="3076" max="3076" width="12.26953125" style="107" bestFit="1" customWidth="1"/>
    <col min="3077" max="3077" width="25.7265625" style="107" bestFit="1" customWidth="1"/>
    <col min="3078" max="3078" width="24.7265625" style="107" bestFit="1" customWidth="1"/>
    <col min="3079" max="3079" width="25.7265625" style="107" bestFit="1" customWidth="1"/>
    <col min="3080" max="3080" width="23.81640625" style="107" bestFit="1" customWidth="1"/>
    <col min="3081" max="3081" width="25.7265625" style="107" bestFit="1" customWidth="1"/>
    <col min="3082" max="3082" width="26" style="107" customWidth="1"/>
    <col min="3083" max="3083" width="25.7265625" style="107" bestFit="1" customWidth="1"/>
    <col min="3084" max="3084" width="26" style="107" customWidth="1"/>
    <col min="3085" max="3085" width="25.7265625" style="107" bestFit="1" customWidth="1"/>
    <col min="3086" max="3086" width="25.54296875" style="107" bestFit="1" customWidth="1"/>
    <col min="3087" max="3087" width="25.7265625" style="107" bestFit="1" customWidth="1"/>
    <col min="3088" max="3088" width="25.54296875" style="107" bestFit="1" customWidth="1"/>
    <col min="3089" max="3089" width="25.7265625" style="107" bestFit="1" customWidth="1"/>
    <col min="3090" max="3090" width="24.81640625" style="107" bestFit="1" customWidth="1"/>
    <col min="3091" max="3091" width="23.7265625" style="107" bestFit="1" customWidth="1"/>
    <col min="3092" max="3092" width="24.81640625" style="107" bestFit="1" customWidth="1"/>
    <col min="3093" max="3093" width="23.7265625" style="107" bestFit="1" customWidth="1"/>
    <col min="3094" max="3094" width="24.81640625" style="107" bestFit="1" customWidth="1"/>
    <col min="3095" max="3100" width="25.7265625" style="107" bestFit="1" customWidth="1"/>
    <col min="3101" max="3107" width="22.81640625" style="107" bestFit="1" customWidth="1"/>
    <col min="3108" max="3108" width="23.1796875" style="107" bestFit="1" customWidth="1"/>
    <col min="3109" max="3109" width="22.81640625" style="107" bestFit="1" customWidth="1"/>
    <col min="3110" max="3110" width="23.1796875" style="107" bestFit="1" customWidth="1"/>
    <col min="3111" max="3111" width="22.81640625" style="107" bestFit="1" customWidth="1"/>
    <col min="3112" max="3112" width="23.1796875" style="107" bestFit="1" customWidth="1"/>
    <col min="3113" max="3113" width="23.54296875" style="107" bestFit="1" customWidth="1"/>
    <col min="3114" max="3114" width="24.81640625" style="107" bestFit="1" customWidth="1"/>
    <col min="3115" max="3115" width="23.54296875" style="107" bestFit="1" customWidth="1"/>
    <col min="3116" max="3116" width="24.81640625" style="107" bestFit="1" customWidth="1"/>
    <col min="3117" max="3117" width="23.54296875" style="107" bestFit="1" customWidth="1"/>
    <col min="3118" max="3118" width="24.81640625" style="107" bestFit="1" customWidth="1"/>
    <col min="3119" max="3120" width="22.81640625" style="107" bestFit="1" customWidth="1"/>
    <col min="3121" max="3121" width="25" style="107" bestFit="1" customWidth="1"/>
    <col min="3122" max="3122" width="22.81640625" style="107" bestFit="1" customWidth="1"/>
    <col min="3123" max="3123" width="25" style="107" bestFit="1" customWidth="1"/>
    <col min="3124" max="3124" width="22.81640625" style="107" bestFit="1" customWidth="1"/>
    <col min="3125" max="3125" width="25" style="107" bestFit="1" customWidth="1"/>
    <col min="3126" max="3126" width="22.26953125" style="107" bestFit="1" customWidth="1"/>
    <col min="3127" max="3127" width="20.81640625" style="107" bestFit="1" customWidth="1"/>
    <col min="3128" max="3128" width="22.26953125" style="107" bestFit="1" customWidth="1"/>
    <col min="3129" max="3129" width="20.81640625" style="107" bestFit="1" customWidth="1"/>
    <col min="3130" max="3130" width="22.26953125" style="107" bestFit="1" customWidth="1"/>
    <col min="3131" max="3131" width="20.81640625" style="107" bestFit="1" customWidth="1"/>
    <col min="3132" max="3132" width="22.26953125" style="107" bestFit="1" customWidth="1"/>
    <col min="3133" max="3133" width="22" style="107" bestFit="1" customWidth="1"/>
    <col min="3134" max="3134" width="22.26953125" style="107" bestFit="1" customWidth="1"/>
    <col min="3135" max="3135" width="22.7265625" style="107" bestFit="1" customWidth="1"/>
    <col min="3136" max="3136" width="23.81640625" style="107" bestFit="1" customWidth="1"/>
    <col min="3137" max="3137" width="25" style="107" bestFit="1" customWidth="1"/>
    <col min="3138" max="3138" width="23.453125" style="107" bestFit="1" customWidth="1"/>
    <col min="3139" max="3139" width="25" style="107" bestFit="1" customWidth="1"/>
    <col min="3140" max="3140" width="22.26953125" style="107" bestFit="1" customWidth="1"/>
    <col min="3141" max="3141" width="26" style="107" customWidth="1"/>
    <col min="3142" max="3142" width="22.26953125" style="107" bestFit="1" customWidth="1"/>
    <col min="3143" max="3143" width="19.54296875" style="107" bestFit="1" customWidth="1"/>
    <col min="3144" max="3144" width="22.26953125" style="107" bestFit="1" customWidth="1"/>
    <col min="3145" max="3145" width="26" style="107" customWidth="1"/>
    <col min="3146" max="3146" width="23.54296875" style="107" bestFit="1" customWidth="1"/>
    <col min="3147" max="3148" width="23.7265625" style="107" bestFit="1" customWidth="1"/>
    <col min="3149" max="3149" width="25.81640625" style="107" bestFit="1" customWidth="1"/>
    <col min="3150" max="3151" width="25.7265625" style="107" bestFit="1" customWidth="1"/>
    <col min="3152" max="3153" width="23.7265625" style="107" bestFit="1" customWidth="1"/>
    <col min="3154" max="3154" width="23.54296875" style="107" bestFit="1" customWidth="1"/>
    <col min="3155" max="3155" width="25.54296875" style="107" bestFit="1" customWidth="1"/>
    <col min="3156" max="3156" width="23.54296875" style="107" bestFit="1" customWidth="1"/>
    <col min="3157" max="3157" width="23.453125" style="107" bestFit="1" customWidth="1"/>
    <col min="3158" max="3159" width="24.453125" style="107" bestFit="1" customWidth="1"/>
    <col min="3160" max="3160" width="22.7265625" style="107" bestFit="1" customWidth="1"/>
    <col min="3161" max="3161" width="24" style="107" bestFit="1" customWidth="1"/>
    <col min="3162" max="3162" width="22.1796875" style="107" bestFit="1" customWidth="1"/>
    <col min="3163" max="3163" width="18.7265625" style="107" bestFit="1" customWidth="1"/>
    <col min="3164" max="3164" width="14.54296875" style="107" bestFit="1" customWidth="1"/>
    <col min="3165" max="3165" width="22.54296875" style="107" bestFit="1" customWidth="1"/>
    <col min="3166" max="3166" width="23.453125" style="107" bestFit="1" customWidth="1"/>
    <col min="3167" max="3328" width="26" style="107"/>
    <col min="3329" max="3329" width="34.7265625" style="107" customWidth="1"/>
    <col min="3330" max="3330" width="17" style="107" bestFit="1" customWidth="1"/>
    <col min="3331" max="3331" width="20.7265625" style="107" bestFit="1" customWidth="1"/>
    <col min="3332" max="3332" width="12.26953125" style="107" bestFit="1" customWidth="1"/>
    <col min="3333" max="3333" width="25.7265625" style="107" bestFit="1" customWidth="1"/>
    <col min="3334" max="3334" width="24.7265625" style="107" bestFit="1" customWidth="1"/>
    <col min="3335" max="3335" width="25.7265625" style="107" bestFit="1" customWidth="1"/>
    <col min="3336" max="3336" width="23.81640625" style="107" bestFit="1" customWidth="1"/>
    <col min="3337" max="3337" width="25.7265625" style="107" bestFit="1" customWidth="1"/>
    <col min="3338" max="3338" width="26" style="107" customWidth="1"/>
    <col min="3339" max="3339" width="25.7265625" style="107" bestFit="1" customWidth="1"/>
    <col min="3340" max="3340" width="26" style="107" customWidth="1"/>
    <col min="3341" max="3341" width="25.7265625" style="107" bestFit="1" customWidth="1"/>
    <col min="3342" max="3342" width="25.54296875" style="107" bestFit="1" customWidth="1"/>
    <col min="3343" max="3343" width="25.7265625" style="107" bestFit="1" customWidth="1"/>
    <col min="3344" max="3344" width="25.54296875" style="107" bestFit="1" customWidth="1"/>
    <col min="3345" max="3345" width="25.7265625" style="107" bestFit="1" customWidth="1"/>
    <col min="3346" max="3346" width="24.81640625" style="107" bestFit="1" customWidth="1"/>
    <col min="3347" max="3347" width="23.7265625" style="107" bestFit="1" customWidth="1"/>
    <col min="3348" max="3348" width="24.81640625" style="107" bestFit="1" customWidth="1"/>
    <col min="3349" max="3349" width="23.7265625" style="107" bestFit="1" customWidth="1"/>
    <col min="3350" max="3350" width="24.81640625" style="107" bestFit="1" customWidth="1"/>
    <col min="3351" max="3356" width="25.7265625" style="107" bestFit="1" customWidth="1"/>
    <col min="3357" max="3363" width="22.81640625" style="107" bestFit="1" customWidth="1"/>
    <col min="3364" max="3364" width="23.1796875" style="107" bestFit="1" customWidth="1"/>
    <col min="3365" max="3365" width="22.81640625" style="107" bestFit="1" customWidth="1"/>
    <col min="3366" max="3366" width="23.1796875" style="107" bestFit="1" customWidth="1"/>
    <col min="3367" max="3367" width="22.81640625" style="107" bestFit="1" customWidth="1"/>
    <col min="3368" max="3368" width="23.1796875" style="107" bestFit="1" customWidth="1"/>
    <col min="3369" max="3369" width="23.54296875" style="107" bestFit="1" customWidth="1"/>
    <col min="3370" max="3370" width="24.81640625" style="107" bestFit="1" customWidth="1"/>
    <col min="3371" max="3371" width="23.54296875" style="107" bestFit="1" customWidth="1"/>
    <col min="3372" max="3372" width="24.81640625" style="107" bestFit="1" customWidth="1"/>
    <col min="3373" max="3373" width="23.54296875" style="107" bestFit="1" customWidth="1"/>
    <col min="3374" max="3374" width="24.81640625" style="107" bestFit="1" customWidth="1"/>
    <col min="3375" max="3376" width="22.81640625" style="107" bestFit="1" customWidth="1"/>
    <col min="3377" max="3377" width="25" style="107" bestFit="1" customWidth="1"/>
    <col min="3378" max="3378" width="22.81640625" style="107" bestFit="1" customWidth="1"/>
    <col min="3379" max="3379" width="25" style="107" bestFit="1" customWidth="1"/>
    <col min="3380" max="3380" width="22.81640625" style="107" bestFit="1" customWidth="1"/>
    <col min="3381" max="3381" width="25" style="107" bestFit="1" customWidth="1"/>
    <col min="3382" max="3382" width="22.26953125" style="107" bestFit="1" customWidth="1"/>
    <col min="3383" max="3383" width="20.81640625" style="107" bestFit="1" customWidth="1"/>
    <col min="3384" max="3384" width="22.26953125" style="107" bestFit="1" customWidth="1"/>
    <col min="3385" max="3385" width="20.81640625" style="107" bestFit="1" customWidth="1"/>
    <col min="3386" max="3386" width="22.26953125" style="107" bestFit="1" customWidth="1"/>
    <col min="3387" max="3387" width="20.81640625" style="107" bestFit="1" customWidth="1"/>
    <col min="3388" max="3388" width="22.26953125" style="107" bestFit="1" customWidth="1"/>
    <col min="3389" max="3389" width="22" style="107" bestFit="1" customWidth="1"/>
    <col min="3390" max="3390" width="22.26953125" style="107" bestFit="1" customWidth="1"/>
    <col min="3391" max="3391" width="22.7265625" style="107" bestFit="1" customWidth="1"/>
    <col min="3392" max="3392" width="23.81640625" style="107" bestFit="1" customWidth="1"/>
    <col min="3393" max="3393" width="25" style="107" bestFit="1" customWidth="1"/>
    <col min="3394" max="3394" width="23.453125" style="107" bestFit="1" customWidth="1"/>
    <col min="3395" max="3395" width="25" style="107" bestFit="1" customWidth="1"/>
    <col min="3396" max="3396" width="22.26953125" style="107" bestFit="1" customWidth="1"/>
    <col min="3397" max="3397" width="26" style="107" customWidth="1"/>
    <col min="3398" max="3398" width="22.26953125" style="107" bestFit="1" customWidth="1"/>
    <col min="3399" max="3399" width="19.54296875" style="107" bestFit="1" customWidth="1"/>
    <col min="3400" max="3400" width="22.26953125" style="107" bestFit="1" customWidth="1"/>
    <col min="3401" max="3401" width="26" style="107" customWidth="1"/>
    <col min="3402" max="3402" width="23.54296875" style="107" bestFit="1" customWidth="1"/>
    <col min="3403" max="3404" width="23.7265625" style="107" bestFit="1" customWidth="1"/>
    <col min="3405" max="3405" width="25.81640625" style="107" bestFit="1" customWidth="1"/>
    <col min="3406" max="3407" width="25.7265625" style="107" bestFit="1" customWidth="1"/>
    <col min="3408" max="3409" width="23.7265625" style="107" bestFit="1" customWidth="1"/>
    <col min="3410" max="3410" width="23.54296875" style="107" bestFit="1" customWidth="1"/>
    <col min="3411" max="3411" width="25.54296875" style="107" bestFit="1" customWidth="1"/>
    <col min="3412" max="3412" width="23.54296875" style="107" bestFit="1" customWidth="1"/>
    <col min="3413" max="3413" width="23.453125" style="107" bestFit="1" customWidth="1"/>
    <col min="3414" max="3415" width="24.453125" style="107" bestFit="1" customWidth="1"/>
    <col min="3416" max="3416" width="22.7265625" style="107" bestFit="1" customWidth="1"/>
    <col min="3417" max="3417" width="24" style="107" bestFit="1" customWidth="1"/>
    <col min="3418" max="3418" width="22.1796875" style="107" bestFit="1" customWidth="1"/>
    <col min="3419" max="3419" width="18.7265625" style="107" bestFit="1" customWidth="1"/>
    <col min="3420" max="3420" width="14.54296875" style="107" bestFit="1" customWidth="1"/>
    <col min="3421" max="3421" width="22.54296875" style="107" bestFit="1" customWidth="1"/>
    <col min="3422" max="3422" width="23.453125" style="107" bestFit="1" customWidth="1"/>
    <col min="3423" max="3584" width="26" style="107"/>
    <col min="3585" max="3585" width="34.7265625" style="107" customWidth="1"/>
    <col min="3586" max="3586" width="17" style="107" bestFit="1" customWidth="1"/>
    <col min="3587" max="3587" width="20.7265625" style="107" bestFit="1" customWidth="1"/>
    <col min="3588" max="3588" width="12.26953125" style="107" bestFit="1" customWidth="1"/>
    <col min="3589" max="3589" width="25.7265625" style="107" bestFit="1" customWidth="1"/>
    <col min="3590" max="3590" width="24.7265625" style="107" bestFit="1" customWidth="1"/>
    <col min="3591" max="3591" width="25.7265625" style="107" bestFit="1" customWidth="1"/>
    <col min="3592" max="3592" width="23.81640625" style="107" bestFit="1" customWidth="1"/>
    <col min="3593" max="3593" width="25.7265625" style="107" bestFit="1" customWidth="1"/>
    <col min="3594" max="3594" width="26" style="107" customWidth="1"/>
    <col min="3595" max="3595" width="25.7265625" style="107" bestFit="1" customWidth="1"/>
    <col min="3596" max="3596" width="26" style="107" customWidth="1"/>
    <col min="3597" max="3597" width="25.7265625" style="107" bestFit="1" customWidth="1"/>
    <col min="3598" max="3598" width="25.54296875" style="107" bestFit="1" customWidth="1"/>
    <col min="3599" max="3599" width="25.7265625" style="107" bestFit="1" customWidth="1"/>
    <col min="3600" max="3600" width="25.54296875" style="107" bestFit="1" customWidth="1"/>
    <col min="3601" max="3601" width="25.7265625" style="107" bestFit="1" customWidth="1"/>
    <col min="3602" max="3602" width="24.81640625" style="107" bestFit="1" customWidth="1"/>
    <col min="3603" max="3603" width="23.7265625" style="107" bestFit="1" customWidth="1"/>
    <col min="3604" max="3604" width="24.81640625" style="107" bestFit="1" customWidth="1"/>
    <col min="3605" max="3605" width="23.7265625" style="107" bestFit="1" customWidth="1"/>
    <col min="3606" max="3606" width="24.81640625" style="107" bestFit="1" customWidth="1"/>
    <col min="3607" max="3612" width="25.7265625" style="107" bestFit="1" customWidth="1"/>
    <col min="3613" max="3619" width="22.81640625" style="107" bestFit="1" customWidth="1"/>
    <col min="3620" max="3620" width="23.1796875" style="107" bestFit="1" customWidth="1"/>
    <col min="3621" max="3621" width="22.81640625" style="107" bestFit="1" customWidth="1"/>
    <col min="3622" max="3622" width="23.1796875" style="107" bestFit="1" customWidth="1"/>
    <col min="3623" max="3623" width="22.81640625" style="107" bestFit="1" customWidth="1"/>
    <col min="3624" max="3624" width="23.1796875" style="107" bestFit="1" customWidth="1"/>
    <col min="3625" max="3625" width="23.54296875" style="107" bestFit="1" customWidth="1"/>
    <col min="3626" max="3626" width="24.81640625" style="107" bestFit="1" customWidth="1"/>
    <col min="3627" max="3627" width="23.54296875" style="107" bestFit="1" customWidth="1"/>
    <col min="3628" max="3628" width="24.81640625" style="107" bestFit="1" customWidth="1"/>
    <col min="3629" max="3629" width="23.54296875" style="107" bestFit="1" customWidth="1"/>
    <col min="3630" max="3630" width="24.81640625" style="107" bestFit="1" customWidth="1"/>
    <col min="3631" max="3632" width="22.81640625" style="107" bestFit="1" customWidth="1"/>
    <col min="3633" max="3633" width="25" style="107" bestFit="1" customWidth="1"/>
    <col min="3634" max="3634" width="22.81640625" style="107" bestFit="1" customWidth="1"/>
    <col min="3635" max="3635" width="25" style="107" bestFit="1" customWidth="1"/>
    <col min="3636" max="3636" width="22.81640625" style="107" bestFit="1" customWidth="1"/>
    <col min="3637" max="3637" width="25" style="107" bestFit="1" customWidth="1"/>
    <col min="3638" max="3638" width="22.26953125" style="107" bestFit="1" customWidth="1"/>
    <col min="3639" max="3639" width="20.81640625" style="107" bestFit="1" customWidth="1"/>
    <col min="3640" max="3640" width="22.26953125" style="107" bestFit="1" customWidth="1"/>
    <col min="3641" max="3641" width="20.81640625" style="107" bestFit="1" customWidth="1"/>
    <col min="3642" max="3642" width="22.26953125" style="107" bestFit="1" customWidth="1"/>
    <col min="3643" max="3643" width="20.81640625" style="107" bestFit="1" customWidth="1"/>
    <col min="3644" max="3644" width="22.26953125" style="107" bestFit="1" customWidth="1"/>
    <col min="3645" max="3645" width="22" style="107" bestFit="1" customWidth="1"/>
    <col min="3646" max="3646" width="22.26953125" style="107" bestFit="1" customWidth="1"/>
    <col min="3647" max="3647" width="22.7265625" style="107" bestFit="1" customWidth="1"/>
    <col min="3648" max="3648" width="23.81640625" style="107" bestFit="1" customWidth="1"/>
    <col min="3649" max="3649" width="25" style="107" bestFit="1" customWidth="1"/>
    <col min="3650" max="3650" width="23.453125" style="107" bestFit="1" customWidth="1"/>
    <col min="3651" max="3651" width="25" style="107" bestFit="1" customWidth="1"/>
    <col min="3652" max="3652" width="22.26953125" style="107" bestFit="1" customWidth="1"/>
    <col min="3653" max="3653" width="26" style="107" customWidth="1"/>
    <col min="3654" max="3654" width="22.26953125" style="107" bestFit="1" customWidth="1"/>
    <col min="3655" max="3655" width="19.54296875" style="107" bestFit="1" customWidth="1"/>
    <col min="3656" max="3656" width="22.26953125" style="107" bestFit="1" customWidth="1"/>
    <col min="3657" max="3657" width="26" style="107" customWidth="1"/>
    <col min="3658" max="3658" width="23.54296875" style="107" bestFit="1" customWidth="1"/>
    <col min="3659" max="3660" width="23.7265625" style="107" bestFit="1" customWidth="1"/>
    <col min="3661" max="3661" width="25.81640625" style="107" bestFit="1" customWidth="1"/>
    <col min="3662" max="3663" width="25.7265625" style="107" bestFit="1" customWidth="1"/>
    <col min="3664" max="3665" width="23.7265625" style="107" bestFit="1" customWidth="1"/>
    <col min="3666" max="3666" width="23.54296875" style="107" bestFit="1" customWidth="1"/>
    <col min="3667" max="3667" width="25.54296875" style="107" bestFit="1" customWidth="1"/>
    <col min="3668" max="3668" width="23.54296875" style="107" bestFit="1" customWidth="1"/>
    <col min="3669" max="3669" width="23.453125" style="107" bestFit="1" customWidth="1"/>
    <col min="3670" max="3671" width="24.453125" style="107" bestFit="1" customWidth="1"/>
    <col min="3672" max="3672" width="22.7265625" style="107" bestFit="1" customWidth="1"/>
    <col min="3673" max="3673" width="24" style="107" bestFit="1" customWidth="1"/>
    <col min="3674" max="3674" width="22.1796875" style="107" bestFit="1" customWidth="1"/>
    <col min="3675" max="3675" width="18.7265625" style="107" bestFit="1" customWidth="1"/>
    <col min="3676" max="3676" width="14.54296875" style="107" bestFit="1" customWidth="1"/>
    <col min="3677" max="3677" width="22.54296875" style="107" bestFit="1" customWidth="1"/>
    <col min="3678" max="3678" width="23.453125" style="107" bestFit="1" customWidth="1"/>
    <col min="3679" max="3840" width="26" style="107"/>
    <col min="3841" max="3841" width="34.7265625" style="107" customWidth="1"/>
    <col min="3842" max="3842" width="17" style="107" bestFit="1" customWidth="1"/>
    <col min="3843" max="3843" width="20.7265625" style="107" bestFit="1" customWidth="1"/>
    <col min="3844" max="3844" width="12.26953125" style="107" bestFit="1" customWidth="1"/>
    <col min="3845" max="3845" width="25.7265625" style="107" bestFit="1" customWidth="1"/>
    <col min="3846" max="3846" width="24.7265625" style="107" bestFit="1" customWidth="1"/>
    <col min="3847" max="3847" width="25.7265625" style="107" bestFit="1" customWidth="1"/>
    <col min="3848" max="3848" width="23.81640625" style="107" bestFit="1" customWidth="1"/>
    <col min="3849" max="3849" width="25.7265625" style="107" bestFit="1" customWidth="1"/>
    <col min="3850" max="3850" width="26" style="107" customWidth="1"/>
    <col min="3851" max="3851" width="25.7265625" style="107" bestFit="1" customWidth="1"/>
    <col min="3852" max="3852" width="26" style="107" customWidth="1"/>
    <col min="3853" max="3853" width="25.7265625" style="107" bestFit="1" customWidth="1"/>
    <col min="3854" max="3854" width="25.54296875" style="107" bestFit="1" customWidth="1"/>
    <col min="3855" max="3855" width="25.7265625" style="107" bestFit="1" customWidth="1"/>
    <col min="3856" max="3856" width="25.54296875" style="107" bestFit="1" customWidth="1"/>
    <col min="3857" max="3857" width="25.7265625" style="107" bestFit="1" customWidth="1"/>
    <col min="3858" max="3858" width="24.81640625" style="107" bestFit="1" customWidth="1"/>
    <col min="3859" max="3859" width="23.7265625" style="107" bestFit="1" customWidth="1"/>
    <col min="3860" max="3860" width="24.81640625" style="107" bestFit="1" customWidth="1"/>
    <col min="3861" max="3861" width="23.7265625" style="107" bestFit="1" customWidth="1"/>
    <col min="3862" max="3862" width="24.81640625" style="107" bestFit="1" customWidth="1"/>
    <col min="3863" max="3868" width="25.7265625" style="107" bestFit="1" customWidth="1"/>
    <col min="3869" max="3875" width="22.81640625" style="107" bestFit="1" customWidth="1"/>
    <col min="3876" max="3876" width="23.1796875" style="107" bestFit="1" customWidth="1"/>
    <col min="3877" max="3877" width="22.81640625" style="107" bestFit="1" customWidth="1"/>
    <col min="3878" max="3878" width="23.1796875" style="107" bestFit="1" customWidth="1"/>
    <col min="3879" max="3879" width="22.81640625" style="107" bestFit="1" customWidth="1"/>
    <col min="3880" max="3880" width="23.1796875" style="107" bestFit="1" customWidth="1"/>
    <col min="3881" max="3881" width="23.54296875" style="107" bestFit="1" customWidth="1"/>
    <col min="3882" max="3882" width="24.81640625" style="107" bestFit="1" customWidth="1"/>
    <col min="3883" max="3883" width="23.54296875" style="107" bestFit="1" customWidth="1"/>
    <col min="3884" max="3884" width="24.81640625" style="107" bestFit="1" customWidth="1"/>
    <col min="3885" max="3885" width="23.54296875" style="107" bestFit="1" customWidth="1"/>
    <col min="3886" max="3886" width="24.81640625" style="107" bestFit="1" customWidth="1"/>
    <col min="3887" max="3888" width="22.81640625" style="107" bestFit="1" customWidth="1"/>
    <col min="3889" max="3889" width="25" style="107" bestFit="1" customWidth="1"/>
    <col min="3890" max="3890" width="22.81640625" style="107" bestFit="1" customWidth="1"/>
    <col min="3891" max="3891" width="25" style="107" bestFit="1" customWidth="1"/>
    <col min="3892" max="3892" width="22.81640625" style="107" bestFit="1" customWidth="1"/>
    <col min="3893" max="3893" width="25" style="107" bestFit="1" customWidth="1"/>
    <col min="3894" max="3894" width="22.26953125" style="107" bestFit="1" customWidth="1"/>
    <col min="3895" max="3895" width="20.81640625" style="107" bestFit="1" customWidth="1"/>
    <col min="3896" max="3896" width="22.26953125" style="107" bestFit="1" customWidth="1"/>
    <col min="3897" max="3897" width="20.81640625" style="107" bestFit="1" customWidth="1"/>
    <col min="3898" max="3898" width="22.26953125" style="107" bestFit="1" customWidth="1"/>
    <col min="3899" max="3899" width="20.81640625" style="107" bestFit="1" customWidth="1"/>
    <col min="3900" max="3900" width="22.26953125" style="107" bestFit="1" customWidth="1"/>
    <col min="3901" max="3901" width="22" style="107" bestFit="1" customWidth="1"/>
    <col min="3902" max="3902" width="22.26953125" style="107" bestFit="1" customWidth="1"/>
    <col min="3903" max="3903" width="22.7265625" style="107" bestFit="1" customWidth="1"/>
    <col min="3904" max="3904" width="23.81640625" style="107" bestFit="1" customWidth="1"/>
    <col min="3905" max="3905" width="25" style="107" bestFit="1" customWidth="1"/>
    <col min="3906" max="3906" width="23.453125" style="107" bestFit="1" customWidth="1"/>
    <col min="3907" max="3907" width="25" style="107" bestFit="1" customWidth="1"/>
    <col min="3908" max="3908" width="22.26953125" style="107" bestFit="1" customWidth="1"/>
    <col min="3909" max="3909" width="26" style="107" customWidth="1"/>
    <col min="3910" max="3910" width="22.26953125" style="107" bestFit="1" customWidth="1"/>
    <col min="3911" max="3911" width="19.54296875" style="107" bestFit="1" customWidth="1"/>
    <col min="3912" max="3912" width="22.26953125" style="107" bestFit="1" customWidth="1"/>
    <col min="3913" max="3913" width="26" style="107" customWidth="1"/>
    <col min="3914" max="3914" width="23.54296875" style="107" bestFit="1" customWidth="1"/>
    <col min="3915" max="3916" width="23.7265625" style="107" bestFit="1" customWidth="1"/>
    <col min="3917" max="3917" width="25.81640625" style="107" bestFit="1" customWidth="1"/>
    <col min="3918" max="3919" width="25.7265625" style="107" bestFit="1" customWidth="1"/>
    <col min="3920" max="3921" width="23.7265625" style="107" bestFit="1" customWidth="1"/>
    <col min="3922" max="3922" width="23.54296875" style="107" bestFit="1" customWidth="1"/>
    <col min="3923" max="3923" width="25.54296875" style="107" bestFit="1" customWidth="1"/>
    <col min="3924" max="3924" width="23.54296875" style="107" bestFit="1" customWidth="1"/>
    <col min="3925" max="3925" width="23.453125" style="107" bestFit="1" customWidth="1"/>
    <col min="3926" max="3927" width="24.453125" style="107" bestFit="1" customWidth="1"/>
    <col min="3928" max="3928" width="22.7265625" style="107" bestFit="1" customWidth="1"/>
    <col min="3929" max="3929" width="24" style="107" bestFit="1" customWidth="1"/>
    <col min="3930" max="3930" width="22.1796875" style="107" bestFit="1" customWidth="1"/>
    <col min="3931" max="3931" width="18.7265625" style="107" bestFit="1" customWidth="1"/>
    <col min="3932" max="3932" width="14.54296875" style="107" bestFit="1" customWidth="1"/>
    <col min="3933" max="3933" width="22.54296875" style="107" bestFit="1" customWidth="1"/>
    <col min="3934" max="3934" width="23.453125" style="107" bestFit="1" customWidth="1"/>
    <col min="3935" max="4096" width="26" style="107"/>
    <col min="4097" max="4097" width="34.7265625" style="107" customWidth="1"/>
    <col min="4098" max="4098" width="17" style="107" bestFit="1" customWidth="1"/>
    <col min="4099" max="4099" width="20.7265625" style="107" bestFit="1" customWidth="1"/>
    <col min="4100" max="4100" width="12.26953125" style="107" bestFit="1" customWidth="1"/>
    <col min="4101" max="4101" width="25.7265625" style="107" bestFit="1" customWidth="1"/>
    <col min="4102" max="4102" width="24.7265625" style="107" bestFit="1" customWidth="1"/>
    <col min="4103" max="4103" width="25.7265625" style="107" bestFit="1" customWidth="1"/>
    <col min="4104" max="4104" width="23.81640625" style="107" bestFit="1" customWidth="1"/>
    <col min="4105" max="4105" width="25.7265625" style="107" bestFit="1" customWidth="1"/>
    <col min="4106" max="4106" width="26" style="107" customWidth="1"/>
    <col min="4107" max="4107" width="25.7265625" style="107" bestFit="1" customWidth="1"/>
    <col min="4108" max="4108" width="26" style="107" customWidth="1"/>
    <col min="4109" max="4109" width="25.7265625" style="107" bestFit="1" customWidth="1"/>
    <col min="4110" max="4110" width="25.54296875" style="107" bestFit="1" customWidth="1"/>
    <col min="4111" max="4111" width="25.7265625" style="107" bestFit="1" customWidth="1"/>
    <col min="4112" max="4112" width="25.54296875" style="107" bestFit="1" customWidth="1"/>
    <col min="4113" max="4113" width="25.7265625" style="107" bestFit="1" customWidth="1"/>
    <col min="4114" max="4114" width="24.81640625" style="107" bestFit="1" customWidth="1"/>
    <col min="4115" max="4115" width="23.7265625" style="107" bestFit="1" customWidth="1"/>
    <col min="4116" max="4116" width="24.81640625" style="107" bestFit="1" customWidth="1"/>
    <col min="4117" max="4117" width="23.7265625" style="107" bestFit="1" customWidth="1"/>
    <col min="4118" max="4118" width="24.81640625" style="107" bestFit="1" customWidth="1"/>
    <col min="4119" max="4124" width="25.7265625" style="107" bestFit="1" customWidth="1"/>
    <col min="4125" max="4131" width="22.81640625" style="107" bestFit="1" customWidth="1"/>
    <col min="4132" max="4132" width="23.1796875" style="107" bestFit="1" customWidth="1"/>
    <col min="4133" max="4133" width="22.81640625" style="107" bestFit="1" customWidth="1"/>
    <col min="4134" max="4134" width="23.1796875" style="107" bestFit="1" customWidth="1"/>
    <col min="4135" max="4135" width="22.81640625" style="107" bestFit="1" customWidth="1"/>
    <col min="4136" max="4136" width="23.1796875" style="107" bestFit="1" customWidth="1"/>
    <col min="4137" max="4137" width="23.54296875" style="107" bestFit="1" customWidth="1"/>
    <col min="4138" max="4138" width="24.81640625" style="107" bestFit="1" customWidth="1"/>
    <col min="4139" max="4139" width="23.54296875" style="107" bestFit="1" customWidth="1"/>
    <col min="4140" max="4140" width="24.81640625" style="107" bestFit="1" customWidth="1"/>
    <col min="4141" max="4141" width="23.54296875" style="107" bestFit="1" customWidth="1"/>
    <col min="4142" max="4142" width="24.81640625" style="107" bestFit="1" customWidth="1"/>
    <col min="4143" max="4144" width="22.81640625" style="107" bestFit="1" customWidth="1"/>
    <col min="4145" max="4145" width="25" style="107" bestFit="1" customWidth="1"/>
    <col min="4146" max="4146" width="22.81640625" style="107" bestFit="1" customWidth="1"/>
    <col min="4147" max="4147" width="25" style="107" bestFit="1" customWidth="1"/>
    <col min="4148" max="4148" width="22.81640625" style="107" bestFit="1" customWidth="1"/>
    <col min="4149" max="4149" width="25" style="107" bestFit="1" customWidth="1"/>
    <col min="4150" max="4150" width="22.26953125" style="107" bestFit="1" customWidth="1"/>
    <col min="4151" max="4151" width="20.81640625" style="107" bestFit="1" customWidth="1"/>
    <col min="4152" max="4152" width="22.26953125" style="107" bestFit="1" customWidth="1"/>
    <col min="4153" max="4153" width="20.81640625" style="107" bestFit="1" customWidth="1"/>
    <col min="4154" max="4154" width="22.26953125" style="107" bestFit="1" customWidth="1"/>
    <col min="4155" max="4155" width="20.81640625" style="107" bestFit="1" customWidth="1"/>
    <col min="4156" max="4156" width="22.26953125" style="107" bestFit="1" customWidth="1"/>
    <col min="4157" max="4157" width="22" style="107" bestFit="1" customWidth="1"/>
    <col min="4158" max="4158" width="22.26953125" style="107" bestFit="1" customWidth="1"/>
    <col min="4159" max="4159" width="22.7265625" style="107" bestFit="1" customWidth="1"/>
    <col min="4160" max="4160" width="23.81640625" style="107" bestFit="1" customWidth="1"/>
    <col min="4161" max="4161" width="25" style="107" bestFit="1" customWidth="1"/>
    <col min="4162" max="4162" width="23.453125" style="107" bestFit="1" customWidth="1"/>
    <col min="4163" max="4163" width="25" style="107" bestFit="1" customWidth="1"/>
    <col min="4164" max="4164" width="22.26953125" style="107" bestFit="1" customWidth="1"/>
    <col min="4165" max="4165" width="26" style="107" customWidth="1"/>
    <col min="4166" max="4166" width="22.26953125" style="107" bestFit="1" customWidth="1"/>
    <col min="4167" max="4167" width="19.54296875" style="107" bestFit="1" customWidth="1"/>
    <col min="4168" max="4168" width="22.26953125" style="107" bestFit="1" customWidth="1"/>
    <col min="4169" max="4169" width="26" style="107" customWidth="1"/>
    <col min="4170" max="4170" width="23.54296875" style="107" bestFit="1" customWidth="1"/>
    <col min="4171" max="4172" width="23.7265625" style="107" bestFit="1" customWidth="1"/>
    <col min="4173" max="4173" width="25.81640625" style="107" bestFit="1" customWidth="1"/>
    <col min="4174" max="4175" width="25.7265625" style="107" bestFit="1" customWidth="1"/>
    <col min="4176" max="4177" width="23.7265625" style="107" bestFit="1" customWidth="1"/>
    <col min="4178" max="4178" width="23.54296875" style="107" bestFit="1" customWidth="1"/>
    <col min="4179" max="4179" width="25.54296875" style="107" bestFit="1" customWidth="1"/>
    <col min="4180" max="4180" width="23.54296875" style="107" bestFit="1" customWidth="1"/>
    <col min="4181" max="4181" width="23.453125" style="107" bestFit="1" customWidth="1"/>
    <col min="4182" max="4183" width="24.453125" style="107" bestFit="1" customWidth="1"/>
    <col min="4184" max="4184" width="22.7265625" style="107" bestFit="1" customWidth="1"/>
    <col min="4185" max="4185" width="24" style="107" bestFit="1" customWidth="1"/>
    <col min="4186" max="4186" width="22.1796875" style="107" bestFit="1" customWidth="1"/>
    <col min="4187" max="4187" width="18.7265625" style="107" bestFit="1" customWidth="1"/>
    <col min="4188" max="4188" width="14.54296875" style="107" bestFit="1" customWidth="1"/>
    <col min="4189" max="4189" width="22.54296875" style="107" bestFit="1" customWidth="1"/>
    <col min="4190" max="4190" width="23.453125" style="107" bestFit="1" customWidth="1"/>
    <col min="4191" max="4352" width="26" style="107"/>
    <col min="4353" max="4353" width="34.7265625" style="107" customWidth="1"/>
    <col min="4354" max="4354" width="17" style="107" bestFit="1" customWidth="1"/>
    <col min="4355" max="4355" width="20.7265625" style="107" bestFit="1" customWidth="1"/>
    <col min="4356" max="4356" width="12.26953125" style="107" bestFit="1" customWidth="1"/>
    <col min="4357" max="4357" width="25.7265625" style="107" bestFit="1" customWidth="1"/>
    <col min="4358" max="4358" width="24.7265625" style="107" bestFit="1" customWidth="1"/>
    <col min="4359" max="4359" width="25.7265625" style="107" bestFit="1" customWidth="1"/>
    <col min="4360" max="4360" width="23.81640625" style="107" bestFit="1" customWidth="1"/>
    <col min="4361" max="4361" width="25.7265625" style="107" bestFit="1" customWidth="1"/>
    <col min="4362" max="4362" width="26" style="107" customWidth="1"/>
    <col min="4363" max="4363" width="25.7265625" style="107" bestFit="1" customWidth="1"/>
    <col min="4364" max="4364" width="26" style="107" customWidth="1"/>
    <col min="4365" max="4365" width="25.7265625" style="107" bestFit="1" customWidth="1"/>
    <col min="4366" max="4366" width="25.54296875" style="107" bestFit="1" customWidth="1"/>
    <col min="4367" max="4367" width="25.7265625" style="107" bestFit="1" customWidth="1"/>
    <col min="4368" max="4368" width="25.54296875" style="107" bestFit="1" customWidth="1"/>
    <col min="4369" max="4369" width="25.7265625" style="107" bestFit="1" customWidth="1"/>
    <col min="4370" max="4370" width="24.81640625" style="107" bestFit="1" customWidth="1"/>
    <col min="4371" max="4371" width="23.7265625" style="107" bestFit="1" customWidth="1"/>
    <col min="4372" max="4372" width="24.81640625" style="107" bestFit="1" customWidth="1"/>
    <col min="4373" max="4373" width="23.7265625" style="107" bestFit="1" customWidth="1"/>
    <col min="4374" max="4374" width="24.81640625" style="107" bestFit="1" customWidth="1"/>
    <col min="4375" max="4380" width="25.7265625" style="107" bestFit="1" customWidth="1"/>
    <col min="4381" max="4387" width="22.81640625" style="107" bestFit="1" customWidth="1"/>
    <col min="4388" max="4388" width="23.1796875" style="107" bestFit="1" customWidth="1"/>
    <col min="4389" max="4389" width="22.81640625" style="107" bestFit="1" customWidth="1"/>
    <col min="4390" max="4390" width="23.1796875" style="107" bestFit="1" customWidth="1"/>
    <col min="4391" max="4391" width="22.81640625" style="107" bestFit="1" customWidth="1"/>
    <col min="4392" max="4392" width="23.1796875" style="107" bestFit="1" customWidth="1"/>
    <col min="4393" max="4393" width="23.54296875" style="107" bestFit="1" customWidth="1"/>
    <col min="4394" max="4394" width="24.81640625" style="107" bestFit="1" customWidth="1"/>
    <col min="4395" max="4395" width="23.54296875" style="107" bestFit="1" customWidth="1"/>
    <col min="4396" max="4396" width="24.81640625" style="107" bestFit="1" customWidth="1"/>
    <col min="4397" max="4397" width="23.54296875" style="107" bestFit="1" customWidth="1"/>
    <col min="4398" max="4398" width="24.81640625" style="107" bestFit="1" customWidth="1"/>
    <col min="4399" max="4400" width="22.81640625" style="107" bestFit="1" customWidth="1"/>
    <col min="4401" max="4401" width="25" style="107" bestFit="1" customWidth="1"/>
    <col min="4402" max="4402" width="22.81640625" style="107" bestFit="1" customWidth="1"/>
    <col min="4403" max="4403" width="25" style="107" bestFit="1" customWidth="1"/>
    <col min="4404" max="4404" width="22.81640625" style="107" bestFit="1" customWidth="1"/>
    <col min="4405" max="4405" width="25" style="107" bestFit="1" customWidth="1"/>
    <col min="4406" max="4406" width="22.26953125" style="107" bestFit="1" customWidth="1"/>
    <col min="4407" max="4407" width="20.81640625" style="107" bestFit="1" customWidth="1"/>
    <col min="4408" max="4408" width="22.26953125" style="107" bestFit="1" customWidth="1"/>
    <col min="4409" max="4409" width="20.81640625" style="107" bestFit="1" customWidth="1"/>
    <col min="4410" max="4410" width="22.26953125" style="107" bestFit="1" customWidth="1"/>
    <col min="4411" max="4411" width="20.81640625" style="107" bestFit="1" customWidth="1"/>
    <col min="4412" max="4412" width="22.26953125" style="107" bestFit="1" customWidth="1"/>
    <col min="4413" max="4413" width="22" style="107" bestFit="1" customWidth="1"/>
    <col min="4414" max="4414" width="22.26953125" style="107" bestFit="1" customWidth="1"/>
    <col min="4415" max="4415" width="22.7265625" style="107" bestFit="1" customWidth="1"/>
    <col min="4416" max="4416" width="23.81640625" style="107" bestFit="1" customWidth="1"/>
    <col min="4417" max="4417" width="25" style="107" bestFit="1" customWidth="1"/>
    <col min="4418" max="4418" width="23.453125" style="107" bestFit="1" customWidth="1"/>
    <col min="4419" max="4419" width="25" style="107" bestFit="1" customWidth="1"/>
    <col min="4420" max="4420" width="22.26953125" style="107" bestFit="1" customWidth="1"/>
    <col min="4421" max="4421" width="26" style="107" customWidth="1"/>
    <col min="4422" max="4422" width="22.26953125" style="107" bestFit="1" customWidth="1"/>
    <col min="4423" max="4423" width="19.54296875" style="107" bestFit="1" customWidth="1"/>
    <col min="4424" max="4424" width="22.26953125" style="107" bestFit="1" customWidth="1"/>
    <col min="4425" max="4425" width="26" style="107" customWidth="1"/>
    <col min="4426" max="4426" width="23.54296875" style="107" bestFit="1" customWidth="1"/>
    <col min="4427" max="4428" width="23.7265625" style="107" bestFit="1" customWidth="1"/>
    <col min="4429" max="4429" width="25.81640625" style="107" bestFit="1" customWidth="1"/>
    <col min="4430" max="4431" width="25.7265625" style="107" bestFit="1" customWidth="1"/>
    <col min="4432" max="4433" width="23.7265625" style="107" bestFit="1" customWidth="1"/>
    <col min="4434" max="4434" width="23.54296875" style="107" bestFit="1" customWidth="1"/>
    <col min="4435" max="4435" width="25.54296875" style="107" bestFit="1" customWidth="1"/>
    <col min="4436" max="4436" width="23.54296875" style="107" bestFit="1" customWidth="1"/>
    <col min="4437" max="4437" width="23.453125" style="107" bestFit="1" customWidth="1"/>
    <col min="4438" max="4439" width="24.453125" style="107" bestFit="1" customWidth="1"/>
    <col min="4440" max="4440" width="22.7265625" style="107" bestFit="1" customWidth="1"/>
    <col min="4441" max="4441" width="24" style="107" bestFit="1" customWidth="1"/>
    <col min="4442" max="4442" width="22.1796875" style="107" bestFit="1" customWidth="1"/>
    <col min="4443" max="4443" width="18.7265625" style="107" bestFit="1" customWidth="1"/>
    <col min="4444" max="4444" width="14.54296875" style="107" bestFit="1" customWidth="1"/>
    <col min="4445" max="4445" width="22.54296875" style="107" bestFit="1" customWidth="1"/>
    <col min="4446" max="4446" width="23.453125" style="107" bestFit="1" customWidth="1"/>
    <col min="4447" max="4608" width="26" style="107"/>
    <col min="4609" max="4609" width="34.7265625" style="107" customWidth="1"/>
    <col min="4610" max="4610" width="17" style="107" bestFit="1" customWidth="1"/>
    <col min="4611" max="4611" width="20.7265625" style="107" bestFit="1" customWidth="1"/>
    <col min="4612" max="4612" width="12.26953125" style="107" bestFit="1" customWidth="1"/>
    <col min="4613" max="4613" width="25.7265625" style="107" bestFit="1" customWidth="1"/>
    <col min="4614" max="4614" width="24.7265625" style="107" bestFit="1" customWidth="1"/>
    <col min="4615" max="4615" width="25.7265625" style="107" bestFit="1" customWidth="1"/>
    <col min="4616" max="4616" width="23.81640625" style="107" bestFit="1" customWidth="1"/>
    <col min="4617" max="4617" width="25.7265625" style="107" bestFit="1" customWidth="1"/>
    <col min="4618" max="4618" width="26" style="107" customWidth="1"/>
    <col min="4619" max="4619" width="25.7265625" style="107" bestFit="1" customWidth="1"/>
    <col min="4620" max="4620" width="26" style="107" customWidth="1"/>
    <col min="4621" max="4621" width="25.7265625" style="107" bestFit="1" customWidth="1"/>
    <col min="4622" max="4622" width="25.54296875" style="107" bestFit="1" customWidth="1"/>
    <col min="4623" max="4623" width="25.7265625" style="107" bestFit="1" customWidth="1"/>
    <col min="4624" max="4624" width="25.54296875" style="107" bestFit="1" customWidth="1"/>
    <col min="4625" max="4625" width="25.7265625" style="107" bestFit="1" customWidth="1"/>
    <col min="4626" max="4626" width="24.81640625" style="107" bestFit="1" customWidth="1"/>
    <col min="4627" max="4627" width="23.7265625" style="107" bestFit="1" customWidth="1"/>
    <col min="4628" max="4628" width="24.81640625" style="107" bestFit="1" customWidth="1"/>
    <col min="4629" max="4629" width="23.7265625" style="107" bestFit="1" customWidth="1"/>
    <col min="4630" max="4630" width="24.81640625" style="107" bestFit="1" customWidth="1"/>
    <col min="4631" max="4636" width="25.7265625" style="107" bestFit="1" customWidth="1"/>
    <col min="4637" max="4643" width="22.81640625" style="107" bestFit="1" customWidth="1"/>
    <col min="4644" max="4644" width="23.1796875" style="107" bestFit="1" customWidth="1"/>
    <col min="4645" max="4645" width="22.81640625" style="107" bestFit="1" customWidth="1"/>
    <col min="4646" max="4646" width="23.1796875" style="107" bestFit="1" customWidth="1"/>
    <col min="4647" max="4647" width="22.81640625" style="107" bestFit="1" customWidth="1"/>
    <col min="4648" max="4648" width="23.1796875" style="107" bestFit="1" customWidth="1"/>
    <col min="4649" max="4649" width="23.54296875" style="107" bestFit="1" customWidth="1"/>
    <col min="4650" max="4650" width="24.81640625" style="107" bestFit="1" customWidth="1"/>
    <col min="4651" max="4651" width="23.54296875" style="107" bestFit="1" customWidth="1"/>
    <col min="4652" max="4652" width="24.81640625" style="107" bestFit="1" customWidth="1"/>
    <col min="4653" max="4653" width="23.54296875" style="107" bestFit="1" customWidth="1"/>
    <col min="4654" max="4654" width="24.81640625" style="107" bestFit="1" customWidth="1"/>
    <col min="4655" max="4656" width="22.81640625" style="107" bestFit="1" customWidth="1"/>
    <col min="4657" max="4657" width="25" style="107" bestFit="1" customWidth="1"/>
    <col min="4658" max="4658" width="22.81640625" style="107" bestFit="1" customWidth="1"/>
    <col min="4659" max="4659" width="25" style="107" bestFit="1" customWidth="1"/>
    <col min="4660" max="4660" width="22.81640625" style="107" bestFit="1" customWidth="1"/>
    <col min="4661" max="4661" width="25" style="107" bestFit="1" customWidth="1"/>
    <col min="4662" max="4662" width="22.26953125" style="107" bestFit="1" customWidth="1"/>
    <col min="4663" max="4663" width="20.81640625" style="107" bestFit="1" customWidth="1"/>
    <col min="4664" max="4664" width="22.26953125" style="107" bestFit="1" customWidth="1"/>
    <col min="4665" max="4665" width="20.81640625" style="107" bestFit="1" customWidth="1"/>
    <col min="4666" max="4666" width="22.26953125" style="107" bestFit="1" customWidth="1"/>
    <col min="4667" max="4667" width="20.81640625" style="107" bestFit="1" customWidth="1"/>
    <col min="4668" max="4668" width="22.26953125" style="107" bestFit="1" customWidth="1"/>
    <col min="4669" max="4669" width="22" style="107" bestFit="1" customWidth="1"/>
    <col min="4670" max="4670" width="22.26953125" style="107" bestFit="1" customWidth="1"/>
    <col min="4671" max="4671" width="22.7265625" style="107" bestFit="1" customWidth="1"/>
    <col min="4672" max="4672" width="23.81640625" style="107" bestFit="1" customWidth="1"/>
    <col min="4673" max="4673" width="25" style="107" bestFit="1" customWidth="1"/>
    <col min="4674" max="4674" width="23.453125" style="107" bestFit="1" customWidth="1"/>
    <col min="4675" max="4675" width="25" style="107" bestFit="1" customWidth="1"/>
    <col min="4676" max="4676" width="22.26953125" style="107" bestFit="1" customWidth="1"/>
    <col min="4677" max="4677" width="26" style="107" customWidth="1"/>
    <col min="4678" max="4678" width="22.26953125" style="107" bestFit="1" customWidth="1"/>
    <col min="4679" max="4679" width="19.54296875" style="107" bestFit="1" customWidth="1"/>
    <col min="4680" max="4680" width="22.26953125" style="107" bestFit="1" customWidth="1"/>
    <col min="4681" max="4681" width="26" style="107" customWidth="1"/>
    <col min="4682" max="4682" width="23.54296875" style="107" bestFit="1" customWidth="1"/>
    <col min="4683" max="4684" width="23.7265625" style="107" bestFit="1" customWidth="1"/>
    <col min="4685" max="4685" width="25.81640625" style="107" bestFit="1" customWidth="1"/>
    <col min="4686" max="4687" width="25.7265625" style="107" bestFit="1" customWidth="1"/>
    <col min="4688" max="4689" width="23.7265625" style="107" bestFit="1" customWidth="1"/>
    <col min="4690" max="4690" width="23.54296875" style="107" bestFit="1" customWidth="1"/>
    <col min="4691" max="4691" width="25.54296875" style="107" bestFit="1" customWidth="1"/>
    <col min="4692" max="4692" width="23.54296875" style="107" bestFit="1" customWidth="1"/>
    <col min="4693" max="4693" width="23.453125" style="107" bestFit="1" customWidth="1"/>
    <col min="4694" max="4695" width="24.453125" style="107" bestFit="1" customWidth="1"/>
    <col min="4696" max="4696" width="22.7265625" style="107" bestFit="1" customWidth="1"/>
    <col min="4697" max="4697" width="24" style="107" bestFit="1" customWidth="1"/>
    <col min="4698" max="4698" width="22.1796875" style="107" bestFit="1" customWidth="1"/>
    <col min="4699" max="4699" width="18.7265625" style="107" bestFit="1" customWidth="1"/>
    <col min="4700" max="4700" width="14.54296875" style="107" bestFit="1" customWidth="1"/>
    <col min="4701" max="4701" width="22.54296875" style="107" bestFit="1" customWidth="1"/>
    <col min="4702" max="4702" width="23.453125" style="107" bestFit="1" customWidth="1"/>
    <col min="4703" max="4864" width="26" style="107"/>
    <col min="4865" max="4865" width="34.7265625" style="107" customWidth="1"/>
    <col min="4866" max="4866" width="17" style="107" bestFit="1" customWidth="1"/>
    <col min="4867" max="4867" width="20.7265625" style="107" bestFit="1" customWidth="1"/>
    <col min="4868" max="4868" width="12.26953125" style="107" bestFit="1" customWidth="1"/>
    <col min="4869" max="4869" width="25.7265625" style="107" bestFit="1" customWidth="1"/>
    <col min="4870" max="4870" width="24.7265625" style="107" bestFit="1" customWidth="1"/>
    <col min="4871" max="4871" width="25.7265625" style="107" bestFit="1" customWidth="1"/>
    <col min="4872" max="4872" width="23.81640625" style="107" bestFit="1" customWidth="1"/>
    <col min="4873" max="4873" width="25.7265625" style="107" bestFit="1" customWidth="1"/>
    <col min="4874" max="4874" width="26" style="107" customWidth="1"/>
    <col min="4875" max="4875" width="25.7265625" style="107" bestFit="1" customWidth="1"/>
    <col min="4876" max="4876" width="26" style="107" customWidth="1"/>
    <col min="4877" max="4877" width="25.7265625" style="107" bestFit="1" customWidth="1"/>
    <col min="4878" max="4878" width="25.54296875" style="107" bestFit="1" customWidth="1"/>
    <col min="4879" max="4879" width="25.7265625" style="107" bestFit="1" customWidth="1"/>
    <col min="4880" max="4880" width="25.54296875" style="107" bestFit="1" customWidth="1"/>
    <col min="4881" max="4881" width="25.7265625" style="107" bestFit="1" customWidth="1"/>
    <col min="4882" max="4882" width="24.81640625" style="107" bestFit="1" customWidth="1"/>
    <col min="4883" max="4883" width="23.7265625" style="107" bestFit="1" customWidth="1"/>
    <col min="4884" max="4884" width="24.81640625" style="107" bestFit="1" customWidth="1"/>
    <col min="4885" max="4885" width="23.7265625" style="107" bestFit="1" customWidth="1"/>
    <col min="4886" max="4886" width="24.81640625" style="107" bestFit="1" customWidth="1"/>
    <col min="4887" max="4892" width="25.7265625" style="107" bestFit="1" customWidth="1"/>
    <col min="4893" max="4899" width="22.81640625" style="107" bestFit="1" customWidth="1"/>
    <col min="4900" max="4900" width="23.1796875" style="107" bestFit="1" customWidth="1"/>
    <col min="4901" max="4901" width="22.81640625" style="107" bestFit="1" customWidth="1"/>
    <col min="4902" max="4902" width="23.1796875" style="107" bestFit="1" customWidth="1"/>
    <col min="4903" max="4903" width="22.81640625" style="107" bestFit="1" customWidth="1"/>
    <col min="4904" max="4904" width="23.1796875" style="107" bestFit="1" customWidth="1"/>
    <col min="4905" max="4905" width="23.54296875" style="107" bestFit="1" customWidth="1"/>
    <col min="4906" max="4906" width="24.81640625" style="107" bestFit="1" customWidth="1"/>
    <col min="4907" max="4907" width="23.54296875" style="107" bestFit="1" customWidth="1"/>
    <col min="4908" max="4908" width="24.81640625" style="107" bestFit="1" customWidth="1"/>
    <col min="4909" max="4909" width="23.54296875" style="107" bestFit="1" customWidth="1"/>
    <col min="4910" max="4910" width="24.81640625" style="107" bestFit="1" customWidth="1"/>
    <col min="4911" max="4912" width="22.81640625" style="107" bestFit="1" customWidth="1"/>
    <col min="4913" max="4913" width="25" style="107" bestFit="1" customWidth="1"/>
    <col min="4914" max="4914" width="22.81640625" style="107" bestFit="1" customWidth="1"/>
    <col min="4915" max="4915" width="25" style="107" bestFit="1" customWidth="1"/>
    <col min="4916" max="4916" width="22.81640625" style="107" bestFit="1" customWidth="1"/>
    <col min="4917" max="4917" width="25" style="107" bestFit="1" customWidth="1"/>
    <col min="4918" max="4918" width="22.26953125" style="107" bestFit="1" customWidth="1"/>
    <col min="4919" max="4919" width="20.81640625" style="107" bestFit="1" customWidth="1"/>
    <col min="4920" max="4920" width="22.26953125" style="107" bestFit="1" customWidth="1"/>
    <col min="4921" max="4921" width="20.81640625" style="107" bestFit="1" customWidth="1"/>
    <col min="4922" max="4922" width="22.26953125" style="107" bestFit="1" customWidth="1"/>
    <col min="4923" max="4923" width="20.81640625" style="107" bestFit="1" customWidth="1"/>
    <col min="4924" max="4924" width="22.26953125" style="107" bestFit="1" customWidth="1"/>
    <col min="4925" max="4925" width="22" style="107" bestFit="1" customWidth="1"/>
    <col min="4926" max="4926" width="22.26953125" style="107" bestFit="1" customWidth="1"/>
    <col min="4927" max="4927" width="22.7265625" style="107" bestFit="1" customWidth="1"/>
    <col min="4928" max="4928" width="23.81640625" style="107" bestFit="1" customWidth="1"/>
    <col min="4929" max="4929" width="25" style="107" bestFit="1" customWidth="1"/>
    <col min="4930" max="4930" width="23.453125" style="107" bestFit="1" customWidth="1"/>
    <col min="4931" max="4931" width="25" style="107" bestFit="1" customWidth="1"/>
    <col min="4932" max="4932" width="22.26953125" style="107" bestFit="1" customWidth="1"/>
    <col min="4933" max="4933" width="26" style="107" customWidth="1"/>
    <col min="4934" max="4934" width="22.26953125" style="107" bestFit="1" customWidth="1"/>
    <col min="4935" max="4935" width="19.54296875" style="107" bestFit="1" customWidth="1"/>
    <col min="4936" max="4936" width="22.26953125" style="107" bestFit="1" customWidth="1"/>
    <col min="4937" max="4937" width="26" style="107" customWidth="1"/>
    <col min="4938" max="4938" width="23.54296875" style="107" bestFit="1" customWidth="1"/>
    <col min="4939" max="4940" width="23.7265625" style="107" bestFit="1" customWidth="1"/>
    <col min="4941" max="4941" width="25.81640625" style="107" bestFit="1" customWidth="1"/>
    <col min="4942" max="4943" width="25.7265625" style="107" bestFit="1" customWidth="1"/>
    <col min="4944" max="4945" width="23.7265625" style="107" bestFit="1" customWidth="1"/>
    <col min="4946" max="4946" width="23.54296875" style="107" bestFit="1" customWidth="1"/>
    <col min="4947" max="4947" width="25.54296875" style="107" bestFit="1" customWidth="1"/>
    <col min="4948" max="4948" width="23.54296875" style="107" bestFit="1" customWidth="1"/>
    <col min="4949" max="4949" width="23.453125" style="107" bestFit="1" customWidth="1"/>
    <col min="4950" max="4951" width="24.453125" style="107" bestFit="1" customWidth="1"/>
    <col min="4952" max="4952" width="22.7265625" style="107" bestFit="1" customWidth="1"/>
    <col min="4953" max="4953" width="24" style="107" bestFit="1" customWidth="1"/>
    <col min="4954" max="4954" width="22.1796875" style="107" bestFit="1" customWidth="1"/>
    <col min="4955" max="4955" width="18.7265625" style="107" bestFit="1" customWidth="1"/>
    <col min="4956" max="4956" width="14.54296875" style="107" bestFit="1" customWidth="1"/>
    <col min="4957" max="4957" width="22.54296875" style="107" bestFit="1" customWidth="1"/>
    <col min="4958" max="4958" width="23.453125" style="107" bestFit="1" customWidth="1"/>
    <col min="4959" max="5120" width="26" style="107"/>
    <col min="5121" max="5121" width="34.7265625" style="107" customWidth="1"/>
    <col min="5122" max="5122" width="17" style="107" bestFit="1" customWidth="1"/>
    <col min="5123" max="5123" width="20.7265625" style="107" bestFit="1" customWidth="1"/>
    <col min="5124" max="5124" width="12.26953125" style="107" bestFit="1" customWidth="1"/>
    <col min="5125" max="5125" width="25.7265625" style="107" bestFit="1" customWidth="1"/>
    <col min="5126" max="5126" width="24.7265625" style="107" bestFit="1" customWidth="1"/>
    <col min="5127" max="5127" width="25.7265625" style="107" bestFit="1" customWidth="1"/>
    <col min="5128" max="5128" width="23.81640625" style="107" bestFit="1" customWidth="1"/>
    <col min="5129" max="5129" width="25.7265625" style="107" bestFit="1" customWidth="1"/>
    <col min="5130" max="5130" width="26" style="107" customWidth="1"/>
    <col min="5131" max="5131" width="25.7265625" style="107" bestFit="1" customWidth="1"/>
    <col min="5132" max="5132" width="26" style="107" customWidth="1"/>
    <col min="5133" max="5133" width="25.7265625" style="107" bestFit="1" customWidth="1"/>
    <col min="5134" max="5134" width="25.54296875" style="107" bestFit="1" customWidth="1"/>
    <col min="5135" max="5135" width="25.7265625" style="107" bestFit="1" customWidth="1"/>
    <col min="5136" max="5136" width="25.54296875" style="107" bestFit="1" customWidth="1"/>
    <col min="5137" max="5137" width="25.7265625" style="107" bestFit="1" customWidth="1"/>
    <col min="5138" max="5138" width="24.81640625" style="107" bestFit="1" customWidth="1"/>
    <col min="5139" max="5139" width="23.7265625" style="107" bestFit="1" customWidth="1"/>
    <col min="5140" max="5140" width="24.81640625" style="107" bestFit="1" customWidth="1"/>
    <col min="5141" max="5141" width="23.7265625" style="107" bestFit="1" customWidth="1"/>
    <col min="5142" max="5142" width="24.81640625" style="107" bestFit="1" customWidth="1"/>
    <col min="5143" max="5148" width="25.7265625" style="107" bestFit="1" customWidth="1"/>
    <col min="5149" max="5155" width="22.81640625" style="107" bestFit="1" customWidth="1"/>
    <col min="5156" max="5156" width="23.1796875" style="107" bestFit="1" customWidth="1"/>
    <col min="5157" max="5157" width="22.81640625" style="107" bestFit="1" customWidth="1"/>
    <col min="5158" max="5158" width="23.1796875" style="107" bestFit="1" customWidth="1"/>
    <col min="5159" max="5159" width="22.81640625" style="107" bestFit="1" customWidth="1"/>
    <col min="5160" max="5160" width="23.1796875" style="107" bestFit="1" customWidth="1"/>
    <col min="5161" max="5161" width="23.54296875" style="107" bestFit="1" customWidth="1"/>
    <col min="5162" max="5162" width="24.81640625" style="107" bestFit="1" customWidth="1"/>
    <col min="5163" max="5163" width="23.54296875" style="107" bestFit="1" customWidth="1"/>
    <col min="5164" max="5164" width="24.81640625" style="107" bestFit="1" customWidth="1"/>
    <col min="5165" max="5165" width="23.54296875" style="107" bestFit="1" customWidth="1"/>
    <col min="5166" max="5166" width="24.81640625" style="107" bestFit="1" customWidth="1"/>
    <col min="5167" max="5168" width="22.81640625" style="107" bestFit="1" customWidth="1"/>
    <col min="5169" max="5169" width="25" style="107" bestFit="1" customWidth="1"/>
    <col min="5170" max="5170" width="22.81640625" style="107" bestFit="1" customWidth="1"/>
    <col min="5171" max="5171" width="25" style="107" bestFit="1" customWidth="1"/>
    <col min="5172" max="5172" width="22.81640625" style="107" bestFit="1" customWidth="1"/>
    <col min="5173" max="5173" width="25" style="107" bestFit="1" customWidth="1"/>
    <col min="5174" max="5174" width="22.26953125" style="107" bestFit="1" customWidth="1"/>
    <col min="5175" max="5175" width="20.81640625" style="107" bestFit="1" customWidth="1"/>
    <col min="5176" max="5176" width="22.26953125" style="107" bestFit="1" customWidth="1"/>
    <col min="5177" max="5177" width="20.81640625" style="107" bestFit="1" customWidth="1"/>
    <col min="5178" max="5178" width="22.26953125" style="107" bestFit="1" customWidth="1"/>
    <col min="5179" max="5179" width="20.81640625" style="107" bestFit="1" customWidth="1"/>
    <col min="5180" max="5180" width="22.26953125" style="107" bestFit="1" customWidth="1"/>
    <col min="5181" max="5181" width="22" style="107" bestFit="1" customWidth="1"/>
    <col min="5182" max="5182" width="22.26953125" style="107" bestFit="1" customWidth="1"/>
    <col min="5183" max="5183" width="22.7265625" style="107" bestFit="1" customWidth="1"/>
    <col min="5184" max="5184" width="23.81640625" style="107" bestFit="1" customWidth="1"/>
    <col min="5185" max="5185" width="25" style="107" bestFit="1" customWidth="1"/>
    <col min="5186" max="5186" width="23.453125" style="107" bestFit="1" customWidth="1"/>
    <col min="5187" max="5187" width="25" style="107" bestFit="1" customWidth="1"/>
    <col min="5188" max="5188" width="22.26953125" style="107" bestFit="1" customWidth="1"/>
    <col min="5189" max="5189" width="26" style="107" customWidth="1"/>
    <col min="5190" max="5190" width="22.26953125" style="107" bestFit="1" customWidth="1"/>
    <col min="5191" max="5191" width="19.54296875" style="107" bestFit="1" customWidth="1"/>
    <col min="5192" max="5192" width="22.26953125" style="107" bestFit="1" customWidth="1"/>
    <col min="5193" max="5193" width="26" style="107" customWidth="1"/>
    <col min="5194" max="5194" width="23.54296875" style="107" bestFit="1" customWidth="1"/>
    <col min="5195" max="5196" width="23.7265625" style="107" bestFit="1" customWidth="1"/>
    <col min="5197" max="5197" width="25.81640625" style="107" bestFit="1" customWidth="1"/>
    <col min="5198" max="5199" width="25.7265625" style="107" bestFit="1" customWidth="1"/>
    <col min="5200" max="5201" width="23.7265625" style="107" bestFit="1" customWidth="1"/>
    <col min="5202" max="5202" width="23.54296875" style="107" bestFit="1" customWidth="1"/>
    <col min="5203" max="5203" width="25.54296875" style="107" bestFit="1" customWidth="1"/>
    <col min="5204" max="5204" width="23.54296875" style="107" bestFit="1" customWidth="1"/>
    <col min="5205" max="5205" width="23.453125" style="107" bestFit="1" customWidth="1"/>
    <col min="5206" max="5207" width="24.453125" style="107" bestFit="1" customWidth="1"/>
    <col min="5208" max="5208" width="22.7265625" style="107" bestFit="1" customWidth="1"/>
    <col min="5209" max="5209" width="24" style="107" bestFit="1" customWidth="1"/>
    <col min="5210" max="5210" width="22.1796875" style="107" bestFit="1" customWidth="1"/>
    <col min="5211" max="5211" width="18.7265625" style="107" bestFit="1" customWidth="1"/>
    <col min="5212" max="5212" width="14.54296875" style="107" bestFit="1" customWidth="1"/>
    <col min="5213" max="5213" width="22.54296875" style="107" bestFit="1" customWidth="1"/>
    <col min="5214" max="5214" width="23.453125" style="107" bestFit="1" customWidth="1"/>
    <col min="5215" max="5376" width="26" style="107"/>
    <col min="5377" max="5377" width="34.7265625" style="107" customWidth="1"/>
    <col min="5378" max="5378" width="17" style="107" bestFit="1" customWidth="1"/>
    <col min="5379" max="5379" width="20.7265625" style="107" bestFit="1" customWidth="1"/>
    <col min="5380" max="5380" width="12.26953125" style="107" bestFit="1" customWidth="1"/>
    <col min="5381" max="5381" width="25.7265625" style="107" bestFit="1" customWidth="1"/>
    <col min="5382" max="5382" width="24.7265625" style="107" bestFit="1" customWidth="1"/>
    <col min="5383" max="5383" width="25.7265625" style="107" bestFit="1" customWidth="1"/>
    <col min="5384" max="5384" width="23.81640625" style="107" bestFit="1" customWidth="1"/>
    <col min="5385" max="5385" width="25.7265625" style="107" bestFit="1" customWidth="1"/>
    <col min="5386" max="5386" width="26" style="107" customWidth="1"/>
    <col min="5387" max="5387" width="25.7265625" style="107" bestFit="1" customWidth="1"/>
    <col min="5388" max="5388" width="26" style="107" customWidth="1"/>
    <col min="5389" max="5389" width="25.7265625" style="107" bestFit="1" customWidth="1"/>
    <col min="5390" max="5390" width="25.54296875" style="107" bestFit="1" customWidth="1"/>
    <col min="5391" max="5391" width="25.7265625" style="107" bestFit="1" customWidth="1"/>
    <col min="5392" max="5392" width="25.54296875" style="107" bestFit="1" customWidth="1"/>
    <col min="5393" max="5393" width="25.7265625" style="107" bestFit="1" customWidth="1"/>
    <col min="5394" max="5394" width="24.81640625" style="107" bestFit="1" customWidth="1"/>
    <col min="5395" max="5395" width="23.7265625" style="107" bestFit="1" customWidth="1"/>
    <col min="5396" max="5396" width="24.81640625" style="107" bestFit="1" customWidth="1"/>
    <col min="5397" max="5397" width="23.7265625" style="107" bestFit="1" customWidth="1"/>
    <col min="5398" max="5398" width="24.81640625" style="107" bestFit="1" customWidth="1"/>
    <col min="5399" max="5404" width="25.7265625" style="107" bestFit="1" customWidth="1"/>
    <col min="5405" max="5411" width="22.81640625" style="107" bestFit="1" customWidth="1"/>
    <col min="5412" max="5412" width="23.1796875" style="107" bestFit="1" customWidth="1"/>
    <col min="5413" max="5413" width="22.81640625" style="107" bestFit="1" customWidth="1"/>
    <col min="5414" max="5414" width="23.1796875" style="107" bestFit="1" customWidth="1"/>
    <col min="5415" max="5415" width="22.81640625" style="107" bestFit="1" customWidth="1"/>
    <col min="5416" max="5416" width="23.1796875" style="107" bestFit="1" customWidth="1"/>
    <col min="5417" max="5417" width="23.54296875" style="107" bestFit="1" customWidth="1"/>
    <col min="5418" max="5418" width="24.81640625" style="107" bestFit="1" customWidth="1"/>
    <col min="5419" max="5419" width="23.54296875" style="107" bestFit="1" customWidth="1"/>
    <col min="5420" max="5420" width="24.81640625" style="107" bestFit="1" customWidth="1"/>
    <col min="5421" max="5421" width="23.54296875" style="107" bestFit="1" customWidth="1"/>
    <col min="5422" max="5422" width="24.81640625" style="107" bestFit="1" customWidth="1"/>
    <col min="5423" max="5424" width="22.81640625" style="107" bestFit="1" customWidth="1"/>
    <col min="5425" max="5425" width="25" style="107" bestFit="1" customWidth="1"/>
    <col min="5426" max="5426" width="22.81640625" style="107" bestFit="1" customWidth="1"/>
    <col min="5427" max="5427" width="25" style="107" bestFit="1" customWidth="1"/>
    <col min="5428" max="5428" width="22.81640625" style="107" bestFit="1" customWidth="1"/>
    <col min="5429" max="5429" width="25" style="107" bestFit="1" customWidth="1"/>
    <col min="5430" max="5430" width="22.26953125" style="107" bestFit="1" customWidth="1"/>
    <col min="5431" max="5431" width="20.81640625" style="107" bestFit="1" customWidth="1"/>
    <col min="5432" max="5432" width="22.26953125" style="107" bestFit="1" customWidth="1"/>
    <col min="5433" max="5433" width="20.81640625" style="107" bestFit="1" customWidth="1"/>
    <col min="5434" max="5434" width="22.26953125" style="107" bestFit="1" customWidth="1"/>
    <col min="5435" max="5435" width="20.81640625" style="107" bestFit="1" customWidth="1"/>
    <col min="5436" max="5436" width="22.26953125" style="107" bestFit="1" customWidth="1"/>
    <col min="5437" max="5437" width="22" style="107" bestFit="1" customWidth="1"/>
    <col min="5438" max="5438" width="22.26953125" style="107" bestFit="1" customWidth="1"/>
    <col min="5439" max="5439" width="22.7265625" style="107" bestFit="1" customWidth="1"/>
    <col min="5440" max="5440" width="23.81640625" style="107" bestFit="1" customWidth="1"/>
    <col min="5441" max="5441" width="25" style="107" bestFit="1" customWidth="1"/>
    <col min="5442" max="5442" width="23.453125" style="107" bestFit="1" customWidth="1"/>
    <col min="5443" max="5443" width="25" style="107" bestFit="1" customWidth="1"/>
    <col min="5444" max="5444" width="22.26953125" style="107" bestFit="1" customWidth="1"/>
    <col min="5445" max="5445" width="26" style="107" customWidth="1"/>
    <col min="5446" max="5446" width="22.26953125" style="107" bestFit="1" customWidth="1"/>
    <col min="5447" max="5447" width="19.54296875" style="107" bestFit="1" customWidth="1"/>
    <col min="5448" max="5448" width="22.26953125" style="107" bestFit="1" customWidth="1"/>
    <col min="5449" max="5449" width="26" style="107" customWidth="1"/>
    <col min="5450" max="5450" width="23.54296875" style="107" bestFit="1" customWidth="1"/>
    <col min="5451" max="5452" width="23.7265625" style="107" bestFit="1" customWidth="1"/>
    <col min="5453" max="5453" width="25.81640625" style="107" bestFit="1" customWidth="1"/>
    <col min="5454" max="5455" width="25.7265625" style="107" bestFit="1" customWidth="1"/>
    <col min="5456" max="5457" width="23.7265625" style="107" bestFit="1" customWidth="1"/>
    <col min="5458" max="5458" width="23.54296875" style="107" bestFit="1" customWidth="1"/>
    <col min="5459" max="5459" width="25.54296875" style="107" bestFit="1" customWidth="1"/>
    <col min="5460" max="5460" width="23.54296875" style="107" bestFit="1" customWidth="1"/>
    <col min="5461" max="5461" width="23.453125" style="107" bestFit="1" customWidth="1"/>
    <col min="5462" max="5463" width="24.453125" style="107" bestFit="1" customWidth="1"/>
    <col min="5464" max="5464" width="22.7265625" style="107" bestFit="1" customWidth="1"/>
    <col min="5465" max="5465" width="24" style="107" bestFit="1" customWidth="1"/>
    <col min="5466" max="5466" width="22.1796875" style="107" bestFit="1" customWidth="1"/>
    <col min="5467" max="5467" width="18.7265625" style="107" bestFit="1" customWidth="1"/>
    <col min="5468" max="5468" width="14.54296875" style="107" bestFit="1" customWidth="1"/>
    <col min="5469" max="5469" width="22.54296875" style="107" bestFit="1" customWidth="1"/>
    <col min="5470" max="5470" width="23.453125" style="107" bestFit="1" customWidth="1"/>
    <col min="5471" max="5632" width="26" style="107"/>
    <col min="5633" max="5633" width="34.7265625" style="107" customWidth="1"/>
    <col min="5634" max="5634" width="17" style="107" bestFit="1" customWidth="1"/>
    <col min="5635" max="5635" width="20.7265625" style="107" bestFit="1" customWidth="1"/>
    <col min="5636" max="5636" width="12.26953125" style="107" bestFit="1" customWidth="1"/>
    <col min="5637" max="5637" width="25.7265625" style="107" bestFit="1" customWidth="1"/>
    <col min="5638" max="5638" width="24.7265625" style="107" bestFit="1" customWidth="1"/>
    <col min="5639" max="5639" width="25.7265625" style="107" bestFit="1" customWidth="1"/>
    <col min="5640" max="5640" width="23.81640625" style="107" bestFit="1" customWidth="1"/>
    <col min="5641" max="5641" width="25.7265625" style="107" bestFit="1" customWidth="1"/>
    <col min="5642" max="5642" width="26" style="107" customWidth="1"/>
    <col min="5643" max="5643" width="25.7265625" style="107" bestFit="1" customWidth="1"/>
    <col min="5644" max="5644" width="26" style="107" customWidth="1"/>
    <col min="5645" max="5645" width="25.7265625" style="107" bestFit="1" customWidth="1"/>
    <col min="5646" max="5646" width="25.54296875" style="107" bestFit="1" customWidth="1"/>
    <col min="5647" max="5647" width="25.7265625" style="107" bestFit="1" customWidth="1"/>
    <col min="5648" max="5648" width="25.54296875" style="107" bestFit="1" customWidth="1"/>
    <col min="5649" max="5649" width="25.7265625" style="107" bestFit="1" customWidth="1"/>
    <col min="5650" max="5650" width="24.81640625" style="107" bestFit="1" customWidth="1"/>
    <col min="5651" max="5651" width="23.7265625" style="107" bestFit="1" customWidth="1"/>
    <col min="5652" max="5652" width="24.81640625" style="107" bestFit="1" customWidth="1"/>
    <col min="5653" max="5653" width="23.7265625" style="107" bestFit="1" customWidth="1"/>
    <col min="5654" max="5654" width="24.81640625" style="107" bestFit="1" customWidth="1"/>
    <col min="5655" max="5660" width="25.7265625" style="107" bestFit="1" customWidth="1"/>
    <col min="5661" max="5667" width="22.81640625" style="107" bestFit="1" customWidth="1"/>
    <col min="5668" max="5668" width="23.1796875" style="107" bestFit="1" customWidth="1"/>
    <col min="5669" max="5669" width="22.81640625" style="107" bestFit="1" customWidth="1"/>
    <col min="5670" max="5670" width="23.1796875" style="107" bestFit="1" customWidth="1"/>
    <col min="5671" max="5671" width="22.81640625" style="107" bestFit="1" customWidth="1"/>
    <col min="5672" max="5672" width="23.1796875" style="107" bestFit="1" customWidth="1"/>
    <col min="5673" max="5673" width="23.54296875" style="107" bestFit="1" customWidth="1"/>
    <col min="5674" max="5674" width="24.81640625" style="107" bestFit="1" customWidth="1"/>
    <col min="5675" max="5675" width="23.54296875" style="107" bestFit="1" customWidth="1"/>
    <col min="5676" max="5676" width="24.81640625" style="107" bestFit="1" customWidth="1"/>
    <col min="5677" max="5677" width="23.54296875" style="107" bestFit="1" customWidth="1"/>
    <col min="5678" max="5678" width="24.81640625" style="107" bestFit="1" customWidth="1"/>
    <col min="5679" max="5680" width="22.81640625" style="107" bestFit="1" customWidth="1"/>
    <col min="5681" max="5681" width="25" style="107" bestFit="1" customWidth="1"/>
    <col min="5682" max="5682" width="22.81640625" style="107" bestFit="1" customWidth="1"/>
    <col min="5683" max="5683" width="25" style="107" bestFit="1" customWidth="1"/>
    <col min="5684" max="5684" width="22.81640625" style="107" bestFit="1" customWidth="1"/>
    <col min="5685" max="5685" width="25" style="107" bestFit="1" customWidth="1"/>
    <col min="5686" max="5686" width="22.26953125" style="107" bestFit="1" customWidth="1"/>
    <col min="5687" max="5687" width="20.81640625" style="107" bestFit="1" customWidth="1"/>
    <col min="5688" max="5688" width="22.26953125" style="107" bestFit="1" customWidth="1"/>
    <col min="5689" max="5689" width="20.81640625" style="107" bestFit="1" customWidth="1"/>
    <col min="5690" max="5690" width="22.26953125" style="107" bestFit="1" customWidth="1"/>
    <col min="5691" max="5691" width="20.81640625" style="107" bestFit="1" customWidth="1"/>
    <col min="5692" max="5692" width="22.26953125" style="107" bestFit="1" customWidth="1"/>
    <col min="5693" max="5693" width="22" style="107" bestFit="1" customWidth="1"/>
    <col min="5694" max="5694" width="22.26953125" style="107" bestFit="1" customWidth="1"/>
    <col min="5695" max="5695" width="22.7265625" style="107" bestFit="1" customWidth="1"/>
    <col min="5696" max="5696" width="23.81640625" style="107" bestFit="1" customWidth="1"/>
    <col min="5697" max="5697" width="25" style="107" bestFit="1" customWidth="1"/>
    <col min="5698" max="5698" width="23.453125" style="107" bestFit="1" customWidth="1"/>
    <col min="5699" max="5699" width="25" style="107" bestFit="1" customWidth="1"/>
    <col min="5700" max="5700" width="22.26953125" style="107" bestFit="1" customWidth="1"/>
    <col min="5701" max="5701" width="26" style="107" customWidth="1"/>
    <col min="5702" max="5702" width="22.26953125" style="107" bestFit="1" customWidth="1"/>
    <col min="5703" max="5703" width="19.54296875" style="107" bestFit="1" customWidth="1"/>
    <col min="5704" max="5704" width="22.26953125" style="107" bestFit="1" customWidth="1"/>
    <col min="5705" max="5705" width="26" style="107" customWidth="1"/>
    <col min="5706" max="5706" width="23.54296875" style="107" bestFit="1" customWidth="1"/>
    <col min="5707" max="5708" width="23.7265625" style="107" bestFit="1" customWidth="1"/>
    <col min="5709" max="5709" width="25.81640625" style="107" bestFit="1" customWidth="1"/>
    <col min="5710" max="5711" width="25.7265625" style="107" bestFit="1" customWidth="1"/>
    <col min="5712" max="5713" width="23.7265625" style="107" bestFit="1" customWidth="1"/>
    <col min="5714" max="5714" width="23.54296875" style="107" bestFit="1" customWidth="1"/>
    <col min="5715" max="5715" width="25.54296875" style="107" bestFit="1" customWidth="1"/>
    <col min="5716" max="5716" width="23.54296875" style="107" bestFit="1" customWidth="1"/>
    <col min="5717" max="5717" width="23.453125" style="107" bestFit="1" customWidth="1"/>
    <col min="5718" max="5719" width="24.453125" style="107" bestFit="1" customWidth="1"/>
    <col min="5720" max="5720" width="22.7265625" style="107" bestFit="1" customWidth="1"/>
    <col min="5721" max="5721" width="24" style="107" bestFit="1" customWidth="1"/>
    <col min="5722" max="5722" width="22.1796875" style="107" bestFit="1" customWidth="1"/>
    <col min="5723" max="5723" width="18.7265625" style="107" bestFit="1" customWidth="1"/>
    <col min="5724" max="5724" width="14.54296875" style="107" bestFit="1" customWidth="1"/>
    <col min="5725" max="5725" width="22.54296875" style="107" bestFit="1" customWidth="1"/>
    <col min="5726" max="5726" width="23.453125" style="107" bestFit="1" customWidth="1"/>
    <col min="5727" max="5888" width="26" style="107"/>
    <col min="5889" max="5889" width="34.7265625" style="107" customWidth="1"/>
    <col min="5890" max="5890" width="17" style="107" bestFit="1" customWidth="1"/>
    <col min="5891" max="5891" width="20.7265625" style="107" bestFit="1" customWidth="1"/>
    <col min="5892" max="5892" width="12.26953125" style="107" bestFit="1" customWidth="1"/>
    <col min="5893" max="5893" width="25.7265625" style="107" bestFit="1" customWidth="1"/>
    <col min="5894" max="5894" width="24.7265625" style="107" bestFit="1" customWidth="1"/>
    <col min="5895" max="5895" width="25.7265625" style="107" bestFit="1" customWidth="1"/>
    <col min="5896" max="5896" width="23.81640625" style="107" bestFit="1" customWidth="1"/>
    <col min="5897" max="5897" width="25.7265625" style="107" bestFit="1" customWidth="1"/>
    <col min="5898" max="5898" width="26" style="107" customWidth="1"/>
    <col min="5899" max="5899" width="25.7265625" style="107" bestFit="1" customWidth="1"/>
    <col min="5900" max="5900" width="26" style="107" customWidth="1"/>
    <col min="5901" max="5901" width="25.7265625" style="107" bestFit="1" customWidth="1"/>
    <col min="5902" max="5902" width="25.54296875" style="107" bestFit="1" customWidth="1"/>
    <col min="5903" max="5903" width="25.7265625" style="107" bestFit="1" customWidth="1"/>
    <col min="5904" max="5904" width="25.54296875" style="107" bestFit="1" customWidth="1"/>
    <col min="5905" max="5905" width="25.7265625" style="107" bestFit="1" customWidth="1"/>
    <col min="5906" max="5906" width="24.81640625" style="107" bestFit="1" customWidth="1"/>
    <col min="5907" max="5907" width="23.7265625" style="107" bestFit="1" customWidth="1"/>
    <col min="5908" max="5908" width="24.81640625" style="107" bestFit="1" customWidth="1"/>
    <col min="5909" max="5909" width="23.7265625" style="107" bestFit="1" customWidth="1"/>
    <col min="5910" max="5910" width="24.81640625" style="107" bestFit="1" customWidth="1"/>
    <col min="5911" max="5916" width="25.7265625" style="107" bestFit="1" customWidth="1"/>
    <col min="5917" max="5923" width="22.81640625" style="107" bestFit="1" customWidth="1"/>
    <col min="5924" max="5924" width="23.1796875" style="107" bestFit="1" customWidth="1"/>
    <col min="5925" max="5925" width="22.81640625" style="107" bestFit="1" customWidth="1"/>
    <col min="5926" max="5926" width="23.1796875" style="107" bestFit="1" customWidth="1"/>
    <col min="5927" max="5927" width="22.81640625" style="107" bestFit="1" customWidth="1"/>
    <col min="5928" max="5928" width="23.1796875" style="107" bestFit="1" customWidth="1"/>
    <col min="5929" max="5929" width="23.54296875" style="107" bestFit="1" customWidth="1"/>
    <col min="5930" max="5930" width="24.81640625" style="107" bestFit="1" customWidth="1"/>
    <col min="5931" max="5931" width="23.54296875" style="107" bestFit="1" customWidth="1"/>
    <col min="5932" max="5932" width="24.81640625" style="107" bestFit="1" customWidth="1"/>
    <col min="5933" max="5933" width="23.54296875" style="107" bestFit="1" customWidth="1"/>
    <col min="5934" max="5934" width="24.81640625" style="107" bestFit="1" customWidth="1"/>
    <col min="5935" max="5936" width="22.81640625" style="107" bestFit="1" customWidth="1"/>
    <col min="5937" max="5937" width="25" style="107" bestFit="1" customWidth="1"/>
    <col min="5938" max="5938" width="22.81640625" style="107" bestFit="1" customWidth="1"/>
    <col min="5939" max="5939" width="25" style="107" bestFit="1" customWidth="1"/>
    <col min="5940" max="5940" width="22.81640625" style="107" bestFit="1" customWidth="1"/>
    <col min="5941" max="5941" width="25" style="107" bestFit="1" customWidth="1"/>
    <col min="5942" max="5942" width="22.26953125" style="107" bestFit="1" customWidth="1"/>
    <col min="5943" max="5943" width="20.81640625" style="107" bestFit="1" customWidth="1"/>
    <col min="5944" max="5944" width="22.26953125" style="107" bestFit="1" customWidth="1"/>
    <col min="5945" max="5945" width="20.81640625" style="107" bestFit="1" customWidth="1"/>
    <col min="5946" max="5946" width="22.26953125" style="107" bestFit="1" customWidth="1"/>
    <col min="5947" max="5947" width="20.81640625" style="107" bestFit="1" customWidth="1"/>
    <col min="5948" max="5948" width="22.26953125" style="107" bestFit="1" customWidth="1"/>
    <col min="5949" max="5949" width="22" style="107" bestFit="1" customWidth="1"/>
    <col min="5950" max="5950" width="22.26953125" style="107" bestFit="1" customWidth="1"/>
    <col min="5951" max="5951" width="22.7265625" style="107" bestFit="1" customWidth="1"/>
    <col min="5952" max="5952" width="23.81640625" style="107" bestFit="1" customWidth="1"/>
    <col min="5953" max="5953" width="25" style="107" bestFit="1" customWidth="1"/>
    <col min="5954" max="5954" width="23.453125" style="107" bestFit="1" customWidth="1"/>
    <col min="5955" max="5955" width="25" style="107" bestFit="1" customWidth="1"/>
    <col min="5956" max="5956" width="22.26953125" style="107" bestFit="1" customWidth="1"/>
    <col min="5957" max="5957" width="26" style="107" customWidth="1"/>
    <col min="5958" max="5958" width="22.26953125" style="107" bestFit="1" customWidth="1"/>
    <col min="5959" max="5959" width="19.54296875" style="107" bestFit="1" customWidth="1"/>
    <col min="5960" max="5960" width="22.26953125" style="107" bestFit="1" customWidth="1"/>
    <col min="5961" max="5961" width="26" style="107" customWidth="1"/>
    <col min="5962" max="5962" width="23.54296875" style="107" bestFit="1" customWidth="1"/>
    <col min="5963" max="5964" width="23.7265625" style="107" bestFit="1" customWidth="1"/>
    <col min="5965" max="5965" width="25.81640625" style="107" bestFit="1" customWidth="1"/>
    <col min="5966" max="5967" width="25.7265625" style="107" bestFit="1" customWidth="1"/>
    <col min="5968" max="5969" width="23.7265625" style="107" bestFit="1" customWidth="1"/>
    <col min="5970" max="5970" width="23.54296875" style="107" bestFit="1" customWidth="1"/>
    <col min="5971" max="5971" width="25.54296875" style="107" bestFit="1" customWidth="1"/>
    <col min="5972" max="5972" width="23.54296875" style="107" bestFit="1" customWidth="1"/>
    <col min="5973" max="5973" width="23.453125" style="107" bestFit="1" customWidth="1"/>
    <col min="5974" max="5975" width="24.453125" style="107" bestFit="1" customWidth="1"/>
    <col min="5976" max="5976" width="22.7265625" style="107" bestFit="1" customWidth="1"/>
    <col min="5977" max="5977" width="24" style="107" bestFit="1" customWidth="1"/>
    <col min="5978" max="5978" width="22.1796875" style="107" bestFit="1" customWidth="1"/>
    <col min="5979" max="5979" width="18.7265625" style="107" bestFit="1" customWidth="1"/>
    <col min="5980" max="5980" width="14.54296875" style="107" bestFit="1" customWidth="1"/>
    <col min="5981" max="5981" width="22.54296875" style="107" bestFit="1" customWidth="1"/>
    <col min="5982" max="5982" width="23.453125" style="107" bestFit="1" customWidth="1"/>
    <col min="5983" max="6144" width="26" style="107"/>
    <col min="6145" max="6145" width="34.7265625" style="107" customWidth="1"/>
    <col min="6146" max="6146" width="17" style="107" bestFit="1" customWidth="1"/>
    <col min="6147" max="6147" width="20.7265625" style="107" bestFit="1" customWidth="1"/>
    <col min="6148" max="6148" width="12.26953125" style="107" bestFit="1" customWidth="1"/>
    <col min="6149" max="6149" width="25.7265625" style="107" bestFit="1" customWidth="1"/>
    <col min="6150" max="6150" width="24.7265625" style="107" bestFit="1" customWidth="1"/>
    <col min="6151" max="6151" width="25.7265625" style="107" bestFit="1" customWidth="1"/>
    <col min="6152" max="6152" width="23.81640625" style="107" bestFit="1" customWidth="1"/>
    <col min="6153" max="6153" width="25.7265625" style="107" bestFit="1" customWidth="1"/>
    <col min="6154" max="6154" width="26" style="107" customWidth="1"/>
    <col min="6155" max="6155" width="25.7265625" style="107" bestFit="1" customWidth="1"/>
    <col min="6156" max="6156" width="26" style="107" customWidth="1"/>
    <col min="6157" max="6157" width="25.7265625" style="107" bestFit="1" customWidth="1"/>
    <col min="6158" max="6158" width="25.54296875" style="107" bestFit="1" customWidth="1"/>
    <col min="6159" max="6159" width="25.7265625" style="107" bestFit="1" customWidth="1"/>
    <col min="6160" max="6160" width="25.54296875" style="107" bestFit="1" customWidth="1"/>
    <col min="6161" max="6161" width="25.7265625" style="107" bestFit="1" customWidth="1"/>
    <col min="6162" max="6162" width="24.81640625" style="107" bestFit="1" customWidth="1"/>
    <col min="6163" max="6163" width="23.7265625" style="107" bestFit="1" customWidth="1"/>
    <col min="6164" max="6164" width="24.81640625" style="107" bestFit="1" customWidth="1"/>
    <col min="6165" max="6165" width="23.7265625" style="107" bestFit="1" customWidth="1"/>
    <col min="6166" max="6166" width="24.81640625" style="107" bestFit="1" customWidth="1"/>
    <col min="6167" max="6172" width="25.7265625" style="107" bestFit="1" customWidth="1"/>
    <col min="6173" max="6179" width="22.81640625" style="107" bestFit="1" customWidth="1"/>
    <col min="6180" max="6180" width="23.1796875" style="107" bestFit="1" customWidth="1"/>
    <col min="6181" max="6181" width="22.81640625" style="107" bestFit="1" customWidth="1"/>
    <col min="6182" max="6182" width="23.1796875" style="107" bestFit="1" customWidth="1"/>
    <col min="6183" max="6183" width="22.81640625" style="107" bestFit="1" customWidth="1"/>
    <col min="6184" max="6184" width="23.1796875" style="107" bestFit="1" customWidth="1"/>
    <col min="6185" max="6185" width="23.54296875" style="107" bestFit="1" customWidth="1"/>
    <col min="6186" max="6186" width="24.81640625" style="107" bestFit="1" customWidth="1"/>
    <col min="6187" max="6187" width="23.54296875" style="107" bestFit="1" customWidth="1"/>
    <col min="6188" max="6188" width="24.81640625" style="107" bestFit="1" customWidth="1"/>
    <col min="6189" max="6189" width="23.54296875" style="107" bestFit="1" customWidth="1"/>
    <col min="6190" max="6190" width="24.81640625" style="107" bestFit="1" customWidth="1"/>
    <col min="6191" max="6192" width="22.81640625" style="107" bestFit="1" customWidth="1"/>
    <col min="6193" max="6193" width="25" style="107" bestFit="1" customWidth="1"/>
    <col min="6194" max="6194" width="22.81640625" style="107" bestFit="1" customWidth="1"/>
    <col min="6195" max="6195" width="25" style="107" bestFit="1" customWidth="1"/>
    <col min="6196" max="6196" width="22.81640625" style="107" bestFit="1" customWidth="1"/>
    <col min="6197" max="6197" width="25" style="107" bestFit="1" customWidth="1"/>
    <col min="6198" max="6198" width="22.26953125" style="107" bestFit="1" customWidth="1"/>
    <col min="6199" max="6199" width="20.81640625" style="107" bestFit="1" customWidth="1"/>
    <col min="6200" max="6200" width="22.26953125" style="107" bestFit="1" customWidth="1"/>
    <col min="6201" max="6201" width="20.81640625" style="107" bestFit="1" customWidth="1"/>
    <col min="6202" max="6202" width="22.26953125" style="107" bestFit="1" customWidth="1"/>
    <col min="6203" max="6203" width="20.81640625" style="107" bestFit="1" customWidth="1"/>
    <col min="6204" max="6204" width="22.26953125" style="107" bestFit="1" customWidth="1"/>
    <col min="6205" max="6205" width="22" style="107" bestFit="1" customWidth="1"/>
    <col min="6206" max="6206" width="22.26953125" style="107" bestFit="1" customWidth="1"/>
    <col min="6207" max="6207" width="22.7265625" style="107" bestFit="1" customWidth="1"/>
    <col min="6208" max="6208" width="23.81640625" style="107" bestFit="1" customWidth="1"/>
    <col min="6209" max="6209" width="25" style="107" bestFit="1" customWidth="1"/>
    <col min="6210" max="6210" width="23.453125" style="107" bestFit="1" customWidth="1"/>
    <col min="6211" max="6211" width="25" style="107" bestFit="1" customWidth="1"/>
    <col min="6212" max="6212" width="22.26953125" style="107" bestFit="1" customWidth="1"/>
    <col min="6213" max="6213" width="26" style="107" customWidth="1"/>
    <col min="6214" max="6214" width="22.26953125" style="107" bestFit="1" customWidth="1"/>
    <col min="6215" max="6215" width="19.54296875" style="107" bestFit="1" customWidth="1"/>
    <col min="6216" max="6216" width="22.26953125" style="107" bestFit="1" customWidth="1"/>
    <col min="6217" max="6217" width="26" style="107" customWidth="1"/>
    <col min="6218" max="6218" width="23.54296875" style="107" bestFit="1" customWidth="1"/>
    <col min="6219" max="6220" width="23.7265625" style="107" bestFit="1" customWidth="1"/>
    <col min="6221" max="6221" width="25.81640625" style="107" bestFit="1" customWidth="1"/>
    <col min="6222" max="6223" width="25.7265625" style="107" bestFit="1" customWidth="1"/>
    <col min="6224" max="6225" width="23.7265625" style="107" bestFit="1" customWidth="1"/>
    <col min="6226" max="6226" width="23.54296875" style="107" bestFit="1" customWidth="1"/>
    <col min="6227" max="6227" width="25.54296875" style="107" bestFit="1" customWidth="1"/>
    <col min="6228" max="6228" width="23.54296875" style="107" bestFit="1" customWidth="1"/>
    <col min="6229" max="6229" width="23.453125" style="107" bestFit="1" customWidth="1"/>
    <col min="6230" max="6231" width="24.453125" style="107" bestFit="1" customWidth="1"/>
    <col min="6232" max="6232" width="22.7265625" style="107" bestFit="1" customWidth="1"/>
    <col min="6233" max="6233" width="24" style="107" bestFit="1" customWidth="1"/>
    <col min="6234" max="6234" width="22.1796875" style="107" bestFit="1" customWidth="1"/>
    <col min="6235" max="6235" width="18.7265625" style="107" bestFit="1" customWidth="1"/>
    <col min="6236" max="6236" width="14.54296875" style="107" bestFit="1" customWidth="1"/>
    <col min="6237" max="6237" width="22.54296875" style="107" bestFit="1" customWidth="1"/>
    <col min="6238" max="6238" width="23.453125" style="107" bestFit="1" customWidth="1"/>
    <col min="6239" max="6400" width="26" style="107"/>
    <col min="6401" max="6401" width="34.7265625" style="107" customWidth="1"/>
    <col min="6402" max="6402" width="17" style="107" bestFit="1" customWidth="1"/>
    <col min="6403" max="6403" width="20.7265625" style="107" bestFit="1" customWidth="1"/>
    <col min="6404" max="6404" width="12.26953125" style="107" bestFit="1" customWidth="1"/>
    <col min="6405" max="6405" width="25.7265625" style="107" bestFit="1" customWidth="1"/>
    <col min="6406" max="6406" width="24.7265625" style="107" bestFit="1" customWidth="1"/>
    <col min="6407" max="6407" width="25.7265625" style="107" bestFit="1" customWidth="1"/>
    <col min="6408" max="6408" width="23.81640625" style="107" bestFit="1" customWidth="1"/>
    <col min="6409" max="6409" width="25.7265625" style="107" bestFit="1" customWidth="1"/>
    <col min="6410" max="6410" width="26" style="107" customWidth="1"/>
    <col min="6411" max="6411" width="25.7265625" style="107" bestFit="1" customWidth="1"/>
    <col min="6412" max="6412" width="26" style="107" customWidth="1"/>
    <col min="6413" max="6413" width="25.7265625" style="107" bestFit="1" customWidth="1"/>
    <col min="6414" max="6414" width="25.54296875" style="107" bestFit="1" customWidth="1"/>
    <col min="6415" max="6415" width="25.7265625" style="107" bestFit="1" customWidth="1"/>
    <col min="6416" max="6416" width="25.54296875" style="107" bestFit="1" customWidth="1"/>
    <col min="6417" max="6417" width="25.7265625" style="107" bestFit="1" customWidth="1"/>
    <col min="6418" max="6418" width="24.81640625" style="107" bestFit="1" customWidth="1"/>
    <col min="6419" max="6419" width="23.7265625" style="107" bestFit="1" customWidth="1"/>
    <col min="6420" max="6420" width="24.81640625" style="107" bestFit="1" customWidth="1"/>
    <col min="6421" max="6421" width="23.7265625" style="107" bestFit="1" customWidth="1"/>
    <col min="6422" max="6422" width="24.81640625" style="107" bestFit="1" customWidth="1"/>
    <col min="6423" max="6428" width="25.7265625" style="107" bestFit="1" customWidth="1"/>
    <col min="6429" max="6435" width="22.81640625" style="107" bestFit="1" customWidth="1"/>
    <col min="6436" max="6436" width="23.1796875" style="107" bestFit="1" customWidth="1"/>
    <col min="6437" max="6437" width="22.81640625" style="107" bestFit="1" customWidth="1"/>
    <col min="6438" max="6438" width="23.1796875" style="107" bestFit="1" customWidth="1"/>
    <col min="6439" max="6439" width="22.81640625" style="107" bestFit="1" customWidth="1"/>
    <col min="6440" max="6440" width="23.1796875" style="107" bestFit="1" customWidth="1"/>
    <col min="6441" max="6441" width="23.54296875" style="107" bestFit="1" customWidth="1"/>
    <col min="6442" max="6442" width="24.81640625" style="107" bestFit="1" customWidth="1"/>
    <col min="6443" max="6443" width="23.54296875" style="107" bestFit="1" customWidth="1"/>
    <col min="6444" max="6444" width="24.81640625" style="107" bestFit="1" customWidth="1"/>
    <col min="6445" max="6445" width="23.54296875" style="107" bestFit="1" customWidth="1"/>
    <col min="6446" max="6446" width="24.81640625" style="107" bestFit="1" customWidth="1"/>
    <col min="6447" max="6448" width="22.81640625" style="107" bestFit="1" customWidth="1"/>
    <col min="6449" max="6449" width="25" style="107" bestFit="1" customWidth="1"/>
    <col min="6450" max="6450" width="22.81640625" style="107" bestFit="1" customWidth="1"/>
    <col min="6451" max="6451" width="25" style="107" bestFit="1" customWidth="1"/>
    <col min="6452" max="6452" width="22.81640625" style="107" bestFit="1" customWidth="1"/>
    <col min="6453" max="6453" width="25" style="107" bestFit="1" customWidth="1"/>
    <col min="6454" max="6454" width="22.26953125" style="107" bestFit="1" customWidth="1"/>
    <col min="6455" max="6455" width="20.81640625" style="107" bestFit="1" customWidth="1"/>
    <col min="6456" max="6456" width="22.26953125" style="107" bestFit="1" customWidth="1"/>
    <col min="6457" max="6457" width="20.81640625" style="107" bestFit="1" customWidth="1"/>
    <col min="6458" max="6458" width="22.26953125" style="107" bestFit="1" customWidth="1"/>
    <col min="6459" max="6459" width="20.81640625" style="107" bestFit="1" customWidth="1"/>
    <col min="6460" max="6460" width="22.26953125" style="107" bestFit="1" customWidth="1"/>
    <col min="6461" max="6461" width="22" style="107" bestFit="1" customWidth="1"/>
    <col min="6462" max="6462" width="22.26953125" style="107" bestFit="1" customWidth="1"/>
    <col min="6463" max="6463" width="22.7265625" style="107" bestFit="1" customWidth="1"/>
    <col min="6464" max="6464" width="23.81640625" style="107" bestFit="1" customWidth="1"/>
    <col min="6465" max="6465" width="25" style="107" bestFit="1" customWidth="1"/>
    <col min="6466" max="6466" width="23.453125" style="107" bestFit="1" customWidth="1"/>
    <col min="6467" max="6467" width="25" style="107" bestFit="1" customWidth="1"/>
    <col min="6468" max="6468" width="22.26953125" style="107" bestFit="1" customWidth="1"/>
    <col min="6469" max="6469" width="26" style="107" customWidth="1"/>
    <col min="6470" max="6470" width="22.26953125" style="107" bestFit="1" customWidth="1"/>
    <col min="6471" max="6471" width="19.54296875" style="107" bestFit="1" customWidth="1"/>
    <col min="6472" max="6472" width="22.26953125" style="107" bestFit="1" customWidth="1"/>
    <col min="6473" max="6473" width="26" style="107" customWidth="1"/>
    <col min="6474" max="6474" width="23.54296875" style="107" bestFit="1" customWidth="1"/>
    <col min="6475" max="6476" width="23.7265625" style="107" bestFit="1" customWidth="1"/>
    <col min="6477" max="6477" width="25.81640625" style="107" bestFit="1" customWidth="1"/>
    <col min="6478" max="6479" width="25.7265625" style="107" bestFit="1" customWidth="1"/>
    <col min="6480" max="6481" width="23.7265625" style="107" bestFit="1" customWidth="1"/>
    <col min="6482" max="6482" width="23.54296875" style="107" bestFit="1" customWidth="1"/>
    <col min="6483" max="6483" width="25.54296875" style="107" bestFit="1" customWidth="1"/>
    <col min="6484" max="6484" width="23.54296875" style="107" bestFit="1" customWidth="1"/>
    <col min="6485" max="6485" width="23.453125" style="107" bestFit="1" customWidth="1"/>
    <col min="6486" max="6487" width="24.453125" style="107" bestFit="1" customWidth="1"/>
    <col min="6488" max="6488" width="22.7265625" style="107" bestFit="1" customWidth="1"/>
    <col min="6489" max="6489" width="24" style="107" bestFit="1" customWidth="1"/>
    <col min="6490" max="6490" width="22.1796875" style="107" bestFit="1" customWidth="1"/>
    <col min="6491" max="6491" width="18.7265625" style="107" bestFit="1" customWidth="1"/>
    <col min="6492" max="6492" width="14.54296875" style="107" bestFit="1" customWidth="1"/>
    <col min="6493" max="6493" width="22.54296875" style="107" bestFit="1" customWidth="1"/>
    <col min="6494" max="6494" width="23.453125" style="107" bestFit="1" customWidth="1"/>
    <col min="6495" max="6656" width="26" style="107"/>
    <col min="6657" max="6657" width="34.7265625" style="107" customWidth="1"/>
    <col min="6658" max="6658" width="17" style="107" bestFit="1" customWidth="1"/>
    <col min="6659" max="6659" width="20.7265625" style="107" bestFit="1" customWidth="1"/>
    <col min="6660" max="6660" width="12.26953125" style="107" bestFit="1" customWidth="1"/>
    <col min="6661" max="6661" width="25.7265625" style="107" bestFit="1" customWidth="1"/>
    <col min="6662" max="6662" width="24.7265625" style="107" bestFit="1" customWidth="1"/>
    <col min="6663" max="6663" width="25.7265625" style="107" bestFit="1" customWidth="1"/>
    <col min="6664" max="6664" width="23.81640625" style="107" bestFit="1" customWidth="1"/>
    <col min="6665" max="6665" width="25.7265625" style="107" bestFit="1" customWidth="1"/>
    <col min="6666" max="6666" width="26" style="107" customWidth="1"/>
    <col min="6667" max="6667" width="25.7265625" style="107" bestFit="1" customWidth="1"/>
    <col min="6668" max="6668" width="26" style="107" customWidth="1"/>
    <col min="6669" max="6669" width="25.7265625" style="107" bestFit="1" customWidth="1"/>
    <col min="6670" max="6670" width="25.54296875" style="107" bestFit="1" customWidth="1"/>
    <col min="6671" max="6671" width="25.7265625" style="107" bestFit="1" customWidth="1"/>
    <col min="6672" max="6672" width="25.54296875" style="107" bestFit="1" customWidth="1"/>
    <col min="6673" max="6673" width="25.7265625" style="107" bestFit="1" customWidth="1"/>
    <col min="6674" max="6674" width="24.81640625" style="107" bestFit="1" customWidth="1"/>
    <col min="6675" max="6675" width="23.7265625" style="107" bestFit="1" customWidth="1"/>
    <col min="6676" max="6676" width="24.81640625" style="107" bestFit="1" customWidth="1"/>
    <col min="6677" max="6677" width="23.7265625" style="107" bestFit="1" customWidth="1"/>
    <col min="6678" max="6678" width="24.81640625" style="107" bestFit="1" customWidth="1"/>
    <col min="6679" max="6684" width="25.7265625" style="107" bestFit="1" customWidth="1"/>
    <col min="6685" max="6691" width="22.81640625" style="107" bestFit="1" customWidth="1"/>
    <col min="6692" max="6692" width="23.1796875" style="107" bestFit="1" customWidth="1"/>
    <col min="6693" max="6693" width="22.81640625" style="107" bestFit="1" customWidth="1"/>
    <col min="6694" max="6694" width="23.1796875" style="107" bestFit="1" customWidth="1"/>
    <col min="6695" max="6695" width="22.81640625" style="107" bestFit="1" customWidth="1"/>
    <col min="6696" max="6696" width="23.1796875" style="107" bestFit="1" customWidth="1"/>
    <col min="6697" max="6697" width="23.54296875" style="107" bestFit="1" customWidth="1"/>
    <col min="6698" max="6698" width="24.81640625" style="107" bestFit="1" customWidth="1"/>
    <col min="6699" max="6699" width="23.54296875" style="107" bestFit="1" customWidth="1"/>
    <col min="6700" max="6700" width="24.81640625" style="107" bestFit="1" customWidth="1"/>
    <col min="6701" max="6701" width="23.54296875" style="107" bestFit="1" customWidth="1"/>
    <col min="6702" max="6702" width="24.81640625" style="107" bestFit="1" customWidth="1"/>
    <col min="6703" max="6704" width="22.81640625" style="107" bestFit="1" customWidth="1"/>
    <col min="6705" max="6705" width="25" style="107" bestFit="1" customWidth="1"/>
    <col min="6706" max="6706" width="22.81640625" style="107" bestFit="1" customWidth="1"/>
    <col min="6707" max="6707" width="25" style="107" bestFit="1" customWidth="1"/>
    <col min="6708" max="6708" width="22.81640625" style="107" bestFit="1" customWidth="1"/>
    <col min="6709" max="6709" width="25" style="107" bestFit="1" customWidth="1"/>
    <col min="6710" max="6710" width="22.26953125" style="107" bestFit="1" customWidth="1"/>
    <col min="6711" max="6711" width="20.81640625" style="107" bestFit="1" customWidth="1"/>
    <col min="6712" max="6712" width="22.26953125" style="107" bestFit="1" customWidth="1"/>
    <col min="6713" max="6713" width="20.81640625" style="107" bestFit="1" customWidth="1"/>
    <col min="6714" max="6714" width="22.26953125" style="107" bestFit="1" customWidth="1"/>
    <col min="6715" max="6715" width="20.81640625" style="107" bestFit="1" customWidth="1"/>
    <col min="6716" max="6716" width="22.26953125" style="107" bestFit="1" customWidth="1"/>
    <col min="6717" max="6717" width="22" style="107" bestFit="1" customWidth="1"/>
    <col min="6718" max="6718" width="22.26953125" style="107" bestFit="1" customWidth="1"/>
    <col min="6719" max="6719" width="22.7265625" style="107" bestFit="1" customWidth="1"/>
    <col min="6720" max="6720" width="23.81640625" style="107" bestFit="1" customWidth="1"/>
    <col min="6721" max="6721" width="25" style="107" bestFit="1" customWidth="1"/>
    <col min="6722" max="6722" width="23.453125" style="107" bestFit="1" customWidth="1"/>
    <col min="6723" max="6723" width="25" style="107" bestFit="1" customWidth="1"/>
    <col min="6724" max="6724" width="22.26953125" style="107" bestFit="1" customWidth="1"/>
    <col min="6725" max="6725" width="26" style="107" customWidth="1"/>
    <col min="6726" max="6726" width="22.26953125" style="107" bestFit="1" customWidth="1"/>
    <col min="6727" max="6727" width="19.54296875" style="107" bestFit="1" customWidth="1"/>
    <col min="6728" max="6728" width="22.26953125" style="107" bestFit="1" customWidth="1"/>
    <col min="6729" max="6729" width="26" style="107" customWidth="1"/>
    <col min="6730" max="6730" width="23.54296875" style="107" bestFit="1" customWidth="1"/>
    <col min="6731" max="6732" width="23.7265625" style="107" bestFit="1" customWidth="1"/>
    <col min="6733" max="6733" width="25.81640625" style="107" bestFit="1" customWidth="1"/>
    <col min="6734" max="6735" width="25.7265625" style="107" bestFit="1" customWidth="1"/>
    <col min="6736" max="6737" width="23.7265625" style="107" bestFit="1" customWidth="1"/>
    <col min="6738" max="6738" width="23.54296875" style="107" bestFit="1" customWidth="1"/>
    <col min="6739" max="6739" width="25.54296875" style="107" bestFit="1" customWidth="1"/>
    <col min="6740" max="6740" width="23.54296875" style="107" bestFit="1" customWidth="1"/>
    <col min="6741" max="6741" width="23.453125" style="107" bestFit="1" customWidth="1"/>
    <col min="6742" max="6743" width="24.453125" style="107" bestFit="1" customWidth="1"/>
    <col min="6744" max="6744" width="22.7265625" style="107" bestFit="1" customWidth="1"/>
    <col min="6745" max="6745" width="24" style="107" bestFit="1" customWidth="1"/>
    <col min="6746" max="6746" width="22.1796875" style="107" bestFit="1" customWidth="1"/>
    <col min="6747" max="6747" width="18.7265625" style="107" bestFit="1" customWidth="1"/>
    <col min="6748" max="6748" width="14.54296875" style="107" bestFit="1" customWidth="1"/>
    <col min="6749" max="6749" width="22.54296875" style="107" bestFit="1" customWidth="1"/>
    <col min="6750" max="6750" width="23.453125" style="107" bestFit="1" customWidth="1"/>
    <col min="6751" max="6912" width="26" style="107"/>
    <col min="6913" max="6913" width="34.7265625" style="107" customWidth="1"/>
    <col min="6914" max="6914" width="17" style="107" bestFit="1" customWidth="1"/>
    <col min="6915" max="6915" width="20.7265625" style="107" bestFit="1" customWidth="1"/>
    <col min="6916" max="6916" width="12.26953125" style="107" bestFit="1" customWidth="1"/>
    <col min="6917" max="6917" width="25.7265625" style="107" bestFit="1" customWidth="1"/>
    <col min="6918" max="6918" width="24.7265625" style="107" bestFit="1" customWidth="1"/>
    <col min="6919" max="6919" width="25.7265625" style="107" bestFit="1" customWidth="1"/>
    <col min="6920" max="6920" width="23.81640625" style="107" bestFit="1" customWidth="1"/>
    <col min="6921" max="6921" width="25.7265625" style="107" bestFit="1" customWidth="1"/>
    <col min="6922" max="6922" width="26" style="107" customWidth="1"/>
    <col min="6923" max="6923" width="25.7265625" style="107" bestFit="1" customWidth="1"/>
    <col min="6924" max="6924" width="26" style="107" customWidth="1"/>
    <col min="6925" max="6925" width="25.7265625" style="107" bestFit="1" customWidth="1"/>
    <col min="6926" max="6926" width="25.54296875" style="107" bestFit="1" customWidth="1"/>
    <col min="6927" max="6927" width="25.7265625" style="107" bestFit="1" customWidth="1"/>
    <col min="6928" max="6928" width="25.54296875" style="107" bestFit="1" customWidth="1"/>
    <col min="6929" max="6929" width="25.7265625" style="107" bestFit="1" customWidth="1"/>
    <col min="6930" max="6930" width="24.81640625" style="107" bestFit="1" customWidth="1"/>
    <col min="6931" max="6931" width="23.7265625" style="107" bestFit="1" customWidth="1"/>
    <col min="6932" max="6932" width="24.81640625" style="107" bestFit="1" customWidth="1"/>
    <col min="6933" max="6933" width="23.7265625" style="107" bestFit="1" customWidth="1"/>
    <col min="6934" max="6934" width="24.81640625" style="107" bestFit="1" customWidth="1"/>
    <col min="6935" max="6940" width="25.7265625" style="107" bestFit="1" customWidth="1"/>
    <col min="6941" max="6947" width="22.81640625" style="107" bestFit="1" customWidth="1"/>
    <col min="6948" max="6948" width="23.1796875" style="107" bestFit="1" customWidth="1"/>
    <col min="6949" max="6949" width="22.81640625" style="107" bestFit="1" customWidth="1"/>
    <col min="6950" max="6950" width="23.1796875" style="107" bestFit="1" customWidth="1"/>
    <col min="6951" max="6951" width="22.81640625" style="107" bestFit="1" customWidth="1"/>
    <col min="6952" max="6952" width="23.1796875" style="107" bestFit="1" customWidth="1"/>
    <col min="6953" max="6953" width="23.54296875" style="107" bestFit="1" customWidth="1"/>
    <col min="6954" max="6954" width="24.81640625" style="107" bestFit="1" customWidth="1"/>
    <col min="6955" max="6955" width="23.54296875" style="107" bestFit="1" customWidth="1"/>
    <col min="6956" max="6956" width="24.81640625" style="107" bestFit="1" customWidth="1"/>
    <col min="6957" max="6957" width="23.54296875" style="107" bestFit="1" customWidth="1"/>
    <col min="6958" max="6958" width="24.81640625" style="107" bestFit="1" customWidth="1"/>
    <col min="6959" max="6960" width="22.81640625" style="107" bestFit="1" customWidth="1"/>
    <col min="6961" max="6961" width="25" style="107" bestFit="1" customWidth="1"/>
    <col min="6962" max="6962" width="22.81640625" style="107" bestFit="1" customWidth="1"/>
    <col min="6963" max="6963" width="25" style="107" bestFit="1" customWidth="1"/>
    <col min="6964" max="6964" width="22.81640625" style="107" bestFit="1" customWidth="1"/>
    <col min="6965" max="6965" width="25" style="107" bestFit="1" customWidth="1"/>
    <col min="6966" max="6966" width="22.26953125" style="107" bestFit="1" customWidth="1"/>
    <col min="6967" max="6967" width="20.81640625" style="107" bestFit="1" customWidth="1"/>
    <col min="6968" max="6968" width="22.26953125" style="107" bestFit="1" customWidth="1"/>
    <col min="6969" max="6969" width="20.81640625" style="107" bestFit="1" customWidth="1"/>
    <col min="6970" max="6970" width="22.26953125" style="107" bestFit="1" customWidth="1"/>
    <col min="6971" max="6971" width="20.81640625" style="107" bestFit="1" customWidth="1"/>
    <col min="6972" max="6972" width="22.26953125" style="107" bestFit="1" customWidth="1"/>
    <col min="6973" max="6973" width="22" style="107" bestFit="1" customWidth="1"/>
    <col min="6974" max="6974" width="22.26953125" style="107" bestFit="1" customWidth="1"/>
    <col min="6975" max="6975" width="22.7265625" style="107" bestFit="1" customWidth="1"/>
    <col min="6976" max="6976" width="23.81640625" style="107" bestFit="1" customWidth="1"/>
    <col min="6977" max="6977" width="25" style="107" bestFit="1" customWidth="1"/>
    <col min="6978" max="6978" width="23.453125" style="107" bestFit="1" customWidth="1"/>
    <col min="6979" max="6979" width="25" style="107" bestFit="1" customWidth="1"/>
    <col min="6980" max="6980" width="22.26953125" style="107" bestFit="1" customWidth="1"/>
    <col min="6981" max="6981" width="26" style="107" customWidth="1"/>
    <col min="6982" max="6982" width="22.26953125" style="107" bestFit="1" customWidth="1"/>
    <col min="6983" max="6983" width="19.54296875" style="107" bestFit="1" customWidth="1"/>
    <col min="6984" max="6984" width="22.26953125" style="107" bestFit="1" customWidth="1"/>
    <col min="6985" max="6985" width="26" style="107" customWidth="1"/>
    <col min="6986" max="6986" width="23.54296875" style="107" bestFit="1" customWidth="1"/>
    <col min="6987" max="6988" width="23.7265625" style="107" bestFit="1" customWidth="1"/>
    <col min="6989" max="6989" width="25.81640625" style="107" bestFit="1" customWidth="1"/>
    <col min="6990" max="6991" width="25.7265625" style="107" bestFit="1" customWidth="1"/>
    <col min="6992" max="6993" width="23.7265625" style="107" bestFit="1" customWidth="1"/>
    <col min="6994" max="6994" width="23.54296875" style="107" bestFit="1" customWidth="1"/>
    <col min="6995" max="6995" width="25.54296875" style="107" bestFit="1" customWidth="1"/>
    <col min="6996" max="6996" width="23.54296875" style="107" bestFit="1" customWidth="1"/>
    <col min="6997" max="6997" width="23.453125" style="107" bestFit="1" customWidth="1"/>
    <col min="6998" max="6999" width="24.453125" style="107" bestFit="1" customWidth="1"/>
    <col min="7000" max="7000" width="22.7265625" style="107" bestFit="1" customWidth="1"/>
    <col min="7001" max="7001" width="24" style="107" bestFit="1" customWidth="1"/>
    <col min="7002" max="7002" width="22.1796875" style="107" bestFit="1" customWidth="1"/>
    <col min="7003" max="7003" width="18.7265625" style="107" bestFit="1" customWidth="1"/>
    <col min="7004" max="7004" width="14.54296875" style="107" bestFit="1" customWidth="1"/>
    <col min="7005" max="7005" width="22.54296875" style="107" bestFit="1" customWidth="1"/>
    <col min="7006" max="7006" width="23.453125" style="107" bestFit="1" customWidth="1"/>
    <col min="7007" max="7168" width="26" style="107"/>
    <col min="7169" max="7169" width="34.7265625" style="107" customWidth="1"/>
    <col min="7170" max="7170" width="17" style="107" bestFit="1" customWidth="1"/>
    <col min="7171" max="7171" width="20.7265625" style="107" bestFit="1" customWidth="1"/>
    <col min="7172" max="7172" width="12.26953125" style="107" bestFit="1" customWidth="1"/>
    <col min="7173" max="7173" width="25.7265625" style="107" bestFit="1" customWidth="1"/>
    <col min="7174" max="7174" width="24.7265625" style="107" bestFit="1" customWidth="1"/>
    <col min="7175" max="7175" width="25.7265625" style="107" bestFit="1" customWidth="1"/>
    <col min="7176" max="7176" width="23.81640625" style="107" bestFit="1" customWidth="1"/>
    <col min="7177" max="7177" width="25.7265625" style="107" bestFit="1" customWidth="1"/>
    <col min="7178" max="7178" width="26" style="107" customWidth="1"/>
    <col min="7179" max="7179" width="25.7265625" style="107" bestFit="1" customWidth="1"/>
    <col min="7180" max="7180" width="26" style="107" customWidth="1"/>
    <col min="7181" max="7181" width="25.7265625" style="107" bestFit="1" customWidth="1"/>
    <col min="7182" max="7182" width="25.54296875" style="107" bestFit="1" customWidth="1"/>
    <col min="7183" max="7183" width="25.7265625" style="107" bestFit="1" customWidth="1"/>
    <col min="7184" max="7184" width="25.54296875" style="107" bestFit="1" customWidth="1"/>
    <col min="7185" max="7185" width="25.7265625" style="107" bestFit="1" customWidth="1"/>
    <col min="7186" max="7186" width="24.81640625" style="107" bestFit="1" customWidth="1"/>
    <col min="7187" max="7187" width="23.7265625" style="107" bestFit="1" customWidth="1"/>
    <col min="7188" max="7188" width="24.81640625" style="107" bestFit="1" customWidth="1"/>
    <col min="7189" max="7189" width="23.7265625" style="107" bestFit="1" customWidth="1"/>
    <col min="7190" max="7190" width="24.81640625" style="107" bestFit="1" customWidth="1"/>
    <col min="7191" max="7196" width="25.7265625" style="107" bestFit="1" customWidth="1"/>
    <col min="7197" max="7203" width="22.81640625" style="107" bestFit="1" customWidth="1"/>
    <col min="7204" max="7204" width="23.1796875" style="107" bestFit="1" customWidth="1"/>
    <col min="7205" max="7205" width="22.81640625" style="107" bestFit="1" customWidth="1"/>
    <col min="7206" max="7206" width="23.1796875" style="107" bestFit="1" customWidth="1"/>
    <col min="7207" max="7207" width="22.81640625" style="107" bestFit="1" customWidth="1"/>
    <col min="7208" max="7208" width="23.1796875" style="107" bestFit="1" customWidth="1"/>
    <col min="7209" max="7209" width="23.54296875" style="107" bestFit="1" customWidth="1"/>
    <col min="7210" max="7210" width="24.81640625" style="107" bestFit="1" customWidth="1"/>
    <col min="7211" max="7211" width="23.54296875" style="107" bestFit="1" customWidth="1"/>
    <col min="7212" max="7212" width="24.81640625" style="107" bestFit="1" customWidth="1"/>
    <col min="7213" max="7213" width="23.54296875" style="107" bestFit="1" customWidth="1"/>
    <col min="7214" max="7214" width="24.81640625" style="107" bestFit="1" customWidth="1"/>
    <col min="7215" max="7216" width="22.81640625" style="107" bestFit="1" customWidth="1"/>
    <col min="7217" max="7217" width="25" style="107" bestFit="1" customWidth="1"/>
    <col min="7218" max="7218" width="22.81640625" style="107" bestFit="1" customWidth="1"/>
    <col min="7219" max="7219" width="25" style="107" bestFit="1" customWidth="1"/>
    <col min="7220" max="7220" width="22.81640625" style="107" bestFit="1" customWidth="1"/>
    <col min="7221" max="7221" width="25" style="107" bestFit="1" customWidth="1"/>
    <col min="7222" max="7222" width="22.26953125" style="107" bestFit="1" customWidth="1"/>
    <col min="7223" max="7223" width="20.81640625" style="107" bestFit="1" customWidth="1"/>
    <col min="7224" max="7224" width="22.26953125" style="107" bestFit="1" customWidth="1"/>
    <col min="7225" max="7225" width="20.81640625" style="107" bestFit="1" customWidth="1"/>
    <col min="7226" max="7226" width="22.26953125" style="107" bestFit="1" customWidth="1"/>
    <col min="7227" max="7227" width="20.81640625" style="107" bestFit="1" customWidth="1"/>
    <col min="7228" max="7228" width="22.26953125" style="107" bestFit="1" customWidth="1"/>
    <col min="7229" max="7229" width="22" style="107" bestFit="1" customWidth="1"/>
    <col min="7230" max="7230" width="22.26953125" style="107" bestFit="1" customWidth="1"/>
    <col min="7231" max="7231" width="22.7265625" style="107" bestFit="1" customWidth="1"/>
    <col min="7232" max="7232" width="23.81640625" style="107" bestFit="1" customWidth="1"/>
    <col min="7233" max="7233" width="25" style="107" bestFit="1" customWidth="1"/>
    <col min="7234" max="7234" width="23.453125" style="107" bestFit="1" customWidth="1"/>
    <col min="7235" max="7235" width="25" style="107" bestFit="1" customWidth="1"/>
    <col min="7236" max="7236" width="22.26953125" style="107" bestFit="1" customWidth="1"/>
    <col min="7237" max="7237" width="26" style="107" customWidth="1"/>
    <col min="7238" max="7238" width="22.26953125" style="107" bestFit="1" customWidth="1"/>
    <col min="7239" max="7239" width="19.54296875" style="107" bestFit="1" customWidth="1"/>
    <col min="7240" max="7240" width="22.26953125" style="107" bestFit="1" customWidth="1"/>
    <col min="7241" max="7241" width="26" style="107" customWidth="1"/>
    <col min="7242" max="7242" width="23.54296875" style="107" bestFit="1" customWidth="1"/>
    <col min="7243" max="7244" width="23.7265625" style="107" bestFit="1" customWidth="1"/>
    <col min="7245" max="7245" width="25.81640625" style="107" bestFit="1" customWidth="1"/>
    <col min="7246" max="7247" width="25.7265625" style="107" bestFit="1" customWidth="1"/>
    <col min="7248" max="7249" width="23.7265625" style="107" bestFit="1" customWidth="1"/>
    <col min="7250" max="7250" width="23.54296875" style="107" bestFit="1" customWidth="1"/>
    <col min="7251" max="7251" width="25.54296875" style="107" bestFit="1" customWidth="1"/>
    <col min="7252" max="7252" width="23.54296875" style="107" bestFit="1" customWidth="1"/>
    <col min="7253" max="7253" width="23.453125" style="107" bestFit="1" customWidth="1"/>
    <col min="7254" max="7255" width="24.453125" style="107" bestFit="1" customWidth="1"/>
    <col min="7256" max="7256" width="22.7265625" style="107" bestFit="1" customWidth="1"/>
    <col min="7257" max="7257" width="24" style="107" bestFit="1" customWidth="1"/>
    <col min="7258" max="7258" width="22.1796875" style="107" bestFit="1" customWidth="1"/>
    <col min="7259" max="7259" width="18.7265625" style="107" bestFit="1" customWidth="1"/>
    <col min="7260" max="7260" width="14.54296875" style="107" bestFit="1" customWidth="1"/>
    <col min="7261" max="7261" width="22.54296875" style="107" bestFit="1" customWidth="1"/>
    <col min="7262" max="7262" width="23.453125" style="107" bestFit="1" customWidth="1"/>
    <col min="7263" max="7424" width="26" style="107"/>
    <col min="7425" max="7425" width="34.7265625" style="107" customWidth="1"/>
    <col min="7426" max="7426" width="17" style="107" bestFit="1" customWidth="1"/>
    <col min="7427" max="7427" width="20.7265625" style="107" bestFit="1" customWidth="1"/>
    <col min="7428" max="7428" width="12.26953125" style="107" bestFit="1" customWidth="1"/>
    <col min="7429" max="7429" width="25.7265625" style="107" bestFit="1" customWidth="1"/>
    <col min="7430" max="7430" width="24.7265625" style="107" bestFit="1" customWidth="1"/>
    <col min="7431" max="7431" width="25.7265625" style="107" bestFit="1" customWidth="1"/>
    <col min="7432" max="7432" width="23.81640625" style="107" bestFit="1" customWidth="1"/>
    <col min="7433" max="7433" width="25.7265625" style="107" bestFit="1" customWidth="1"/>
    <col min="7434" max="7434" width="26" style="107" customWidth="1"/>
    <col min="7435" max="7435" width="25.7265625" style="107" bestFit="1" customWidth="1"/>
    <col min="7436" max="7436" width="26" style="107" customWidth="1"/>
    <col min="7437" max="7437" width="25.7265625" style="107" bestFit="1" customWidth="1"/>
    <col min="7438" max="7438" width="25.54296875" style="107" bestFit="1" customWidth="1"/>
    <col min="7439" max="7439" width="25.7265625" style="107" bestFit="1" customWidth="1"/>
    <col min="7440" max="7440" width="25.54296875" style="107" bestFit="1" customWidth="1"/>
    <col min="7441" max="7441" width="25.7265625" style="107" bestFit="1" customWidth="1"/>
    <col min="7442" max="7442" width="24.81640625" style="107" bestFit="1" customWidth="1"/>
    <col min="7443" max="7443" width="23.7265625" style="107" bestFit="1" customWidth="1"/>
    <col min="7444" max="7444" width="24.81640625" style="107" bestFit="1" customWidth="1"/>
    <col min="7445" max="7445" width="23.7265625" style="107" bestFit="1" customWidth="1"/>
    <col min="7446" max="7446" width="24.81640625" style="107" bestFit="1" customWidth="1"/>
    <col min="7447" max="7452" width="25.7265625" style="107" bestFit="1" customWidth="1"/>
    <col min="7453" max="7459" width="22.81640625" style="107" bestFit="1" customWidth="1"/>
    <col min="7460" max="7460" width="23.1796875" style="107" bestFit="1" customWidth="1"/>
    <col min="7461" max="7461" width="22.81640625" style="107" bestFit="1" customWidth="1"/>
    <col min="7462" max="7462" width="23.1796875" style="107" bestFit="1" customWidth="1"/>
    <col min="7463" max="7463" width="22.81640625" style="107" bestFit="1" customWidth="1"/>
    <col min="7464" max="7464" width="23.1796875" style="107" bestFit="1" customWidth="1"/>
    <col min="7465" max="7465" width="23.54296875" style="107" bestFit="1" customWidth="1"/>
    <col min="7466" max="7466" width="24.81640625" style="107" bestFit="1" customWidth="1"/>
    <col min="7467" max="7467" width="23.54296875" style="107" bestFit="1" customWidth="1"/>
    <col min="7468" max="7468" width="24.81640625" style="107" bestFit="1" customWidth="1"/>
    <col min="7469" max="7469" width="23.54296875" style="107" bestFit="1" customWidth="1"/>
    <col min="7470" max="7470" width="24.81640625" style="107" bestFit="1" customWidth="1"/>
    <col min="7471" max="7472" width="22.81640625" style="107" bestFit="1" customWidth="1"/>
    <col min="7473" max="7473" width="25" style="107" bestFit="1" customWidth="1"/>
    <col min="7474" max="7474" width="22.81640625" style="107" bestFit="1" customWidth="1"/>
    <col min="7475" max="7475" width="25" style="107" bestFit="1" customWidth="1"/>
    <col min="7476" max="7476" width="22.81640625" style="107" bestFit="1" customWidth="1"/>
    <col min="7477" max="7477" width="25" style="107" bestFit="1" customWidth="1"/>
    <col min="7478" max="7478" width="22.26953125" style="107" bestFit="1" customWidth="1"/>
    <col min="7479" max="7479" width="20.81640625" style="107" bestFit="1" customWidth="1"/>
    <col min="7480" max="7480" width="22.26953125" style="107" bestFit="1" customWidth="1"/>
    <col min="7481" max="7481" width="20.81640625" style="107" bestFit="1" customWidth="1"/>
    <col min="7482" max="7482" width="22.26953125" style="107" bestFit="1" customWidth="1"/>
    <col min="7483" max="7483" width="20.81640625" style="107" bestFit="1" customWidth="1"/>
    <col min="7484" max="7484" width="22.26953125" style="107" bestFit="1" customWidth="1"/>
    <col min="7485" max="7485" width="22" style="107" bestFit="1" customWidth="1"/>
    <col min="7486" max="7486" width="22.26953125" style="107" bestFit="1" customWidth="1"/>
    <col min="7487" max="7487" width="22.7265625" style="107" bestFit="1" customWidth="1"/>
    <col min="7488" max="7488" width="23.81640625" style="107" bestFit="1" customWidth="1"/>
    <col min="7489" max="7489" width="25" style="107" bestFit="1" customWidth="1"/>
    <col min="7490" max="7490" width="23.453125" style="107" bestFit="1" customWidth="1"/>
    <col min="7491" max="7491" width="25" style="107" bestFit="1" customWidth="1"/>
    <col min="7492" max="7492" width="22.26953125" style="107" bestFit="1" customWidth="1"/>
    <col min="7493" max="7493" width="26" style="107" customWidth="1"/>
    <col min="7494" max="7494" width="22.26953125" style="107" bestFit="1" customWidth="1"/>
    <col min="7495" max="7495" width="19.54296875" style="107" bestFit="1" customWidth="1"/>
    <col min="7496" max="7496" width="22.26953125" style="107" bestFit="1" customWidth="1"/>
    <col min="7497" max="7497" width="26" style="107" customWidth="1"/>
    <col min="7498" max="7498" width="23.54296875" style="107" bestFit="1" customWidth="1"/>
    <col min="7499" max="7500" width="23.7265625" style="107" bestFit="1" customWidth="1"/>
    <col min="7501" max="7501" width="25.81640625" style="107" bestFit="1" customWidth="1"/>
    <col min="7502" max="7503" width="25.7265625" style="107" bestFit="1" customWidth="1"/>
    <col min="7504" max="7505" width="23.7265625" style="107" bestFit="1" customWidth="1"/>
    <col min="7506" max="7506" width="23.54296875" style="107" bestFit="1" customWidth="1"/>
    <col min="7507" max="7507" width="25.54296875" style="107" bestFit="1" customWidth="1"/>
    <col min="7508" max="7508" width="23.54296875" style="107" bestFit="1" customWidth="1"/>
    <col min="7509" max="7509" width="23.453125" style="107" bestFit="1" customWidth="1"/>
    <col min="7510" max="7511" width="24.453125" style="107" bestFit="1" customWidth="1"/>
    <col min="7512" max="7512" width="22.7265625" style="107" bestFit="1" customWidth="1"/>
    <col min="7513" max="7513" width="24" style="107" bestFit="1" customWidth="1"/>
    <col min="7514" max="7514" width="22.1796875" style="107" bestFit="1" customWidth="1"/>
    <col min="7515" max="7515" width="18.7265625" style="107" bestFit="1" customWidth="1"/>
    <col min="7516" max="7516" width="14.54296875" style="107" bestFit="1" customWidth="1"/>
    <col min="7517" max="7517" width="22.54296875" style="107" bestFit="1" customWidth="1"/>
    <col min="7518" max="7518" width="23.453125" style="107" bestFit="1" customWidth="1"/>
    <col min="7519" max="7680" width="26" style="107"/>
    <col min="7681" max="7681" width="34.7265625" style="107" customWidth="1"/>
    <col min="7682" max="7682" width="17" style="107" bestFit="1" customWidth="1"/>
    <col min="7683" max="7683" width="20.7265625" style="107" bestFit="1" customWidth="1"/>
    <col min="7684" max="7684" width="12.26953125" style="107" bestFit="1" customWidth="1"/>
    <col min="7685" max="7685" width="25.7265625" style="107" bestFit="1" customWidth="1"/>
    <col min="7686" max="7686" width="24.7265625" style="107" bestFit="1" customWidth="1"/>
    <col min="7687" max="7687" width="25.7265625" style="107" bestFit="1" customWidth="1"/>
    <col min="7688" max="7688" width="23.81640625" style="107" bestFit="1" customWidth="1"/>
    <col min="7689" max="7689" width="25.7265625" style="107" bestFit="1" customWidth="1"/>
    <col min="7690" max="7690" width="26" style="107" customWidth="1"/>
    <col min="7691" max="7691" width="25.7265625" style="107" bestFit="1" customWidth="1"/>
    <col min="7692" max="7692" width="26" style="107" customWidth="1"/>
    <col min="7693" max="7693" width="25.7265625" style="107" bestFit="1" customWidth="1"/>
    <col min="7694" max="7694" width="25.54296875" style="107" bestFit="1" customWidth="1"/>
    <col min="7695" max="7695" width="25.7265625" style="107" bestFit="1" customWidth="1"/>
    <col min="7696" max="7696" width="25.54296875" style="107" bestFit="1" customWidth="1"/>
    <col min="7697" max="7697" width="25.7265625" style="107" bestFit="1" customWidth="1"/>
    <col min="7698" max="7698" width="24.81640625" style="107" bestFit="1" customWidth="1"/>
    <col min="7699" max="7699" width="23.7265625" style="107" bestFit="1" customWidth="1"/>
    <col min="7700" max="7700" width="24.81640625" style="107" bestFit="1" customWidth="1"/>
    <col min="7701" max="7701" width="23.7265625" style="107" bestFit="1" customWidth="1"/>
    <col min="7702" max="7702" width="24.81640625" style="107" bestFit="1" customWidth="1"/>
    <col min="7703" max="7708" width="25.7265625" style="107" bestFit="1" customWidth="1"/>
    <col min="7709" max="7715" width="22.81640625" style="107" bestFit="1" customWidth="1"/>
    <col min="7716" max="7716" width="23.1796875" style="107" bestFit="1" customWidth="1"/>
    <col min="7717" max="7717" width="22.81640625" style="107" bestFit="1" customWidth="1"/>
    <col min="7718" max="7718" width="23.1796875" style="107" bestFit="1" customWidth="1"/>
    <col min="7719" max="7719" width="22.81640625" style="107" bestFit="1" customWidth="1"/>
    <col min="7720" max="7720" width="23.1796875" style="107" bestFit="1" customWidth="1"/>
    <col min="7721" max="7721" width="23.54296875" style="107" bestFit="1" customWidth="1"/>
    <col min="7722" max="7722" width="24.81640625" style="107" bestFit="1" customWidth="1"/>
    <col min="7723" max="7723" width="23.54296875" style="107" bestFit="1" customWidth="1"/>
    <col min="7724" max="7724" width="24.81640625" style="107" bestFit="1" customWidth="1"/>
    <col min="7725" max="7725" width="23.54296875" style="107" bestFit="1" customWidth="1"/>
    <col min="7726" max="7726" width="24.81640625" style="107" bestFit="1" customWidth="1"/>
    <col min="7727" max="7728" width="22.81640625" style="107" bestFit="1" customWidth="1"/>
    <col min="7729" max="7729" width="25" style="107" bestFit="1" customWidth="1"/>
    <col min="7730" max="7730" width="22.81640625" style="107" bestFit="1" customWidth="1"/>
    <col min="7731" max="7731" width="25" style="107" bestFit="1" customWidth="1"/>
    <col min="7732" max="7732" width="22.81640625" style="107" bestFit="1" customWidth="1"/>
    <col min="7733" max="7733" width="25" style="107" bestFit="1" customWidth="1"/>
    <col min="7734" max="7734" width="22.26953125" style="107" bestFit="1" customWidth="1"/>
    <col min="7735" max="7735" width="20.81640625" style="107" bestFit="1" customWidth="1"/>
    <col min="7736" max="7736" width="22.26953125" style="107" bestFit="1" customWidth="1"/>
    <col min="7737" max="7737" width="20.81640625" style="107" bestFit="1" customWidth="1"/>
    <col min="7738" max="7738" width="22.26953125" style="107" bestFit="1" customWidth="1"/>
    <col min="7739" max="7739" width="20.81640625" style="107" bestFit="1" customWidth="1"/>
    <col min="7740" max="7740" width="22.26953125" style="107" bestFit="1" customWidth="1"/>
    <col min="7741" max="7741" width="22" style="107" bestFit="1" customWidth="1"/>
    <col min="7742" max="7742" width="22.26953125" style="107" bestFit="1" customWidth="1"/>
    <col min="7743" max="7743" width="22.7265625" style="107" bestFit="1" customWidth="1"/>
    <col min="7744" max="7744" width="23.81640625" style="107" bestFit="1" customWidth="1"/>
    <col min="7745" max="7745" width="25" style="107" bestFit="1" customWidth="1"/>
    <col min="7746" max="7746" width="23.453125" style="107" bestFit="1" customWidth="1"/>
    <col min="7747" max="7747" width="25" style="107" bestFit="1" customWidth="1"/>
    <col min="7748" max="7748" width="22.26953125" style="107" bestFit="1" customWidth="1"/>
    <col min="7749" max="7749" width="26" style="107" customWidth="1"/>
    <col min="7750" max="7750" width="22.26953125" style="107" bestFit="1" customWidth="1"/>
    <col min="7751" max="7751" width="19.54296875" style="107" bestFit="1" customWidth="1"/>
    <col min="7752" max="7752" width="22.26953125" style="107" bestFit="1" customWidth="1"/>
    <col min="7753" max="7753" width="26" style="107" customWidth="1"/>
    <col min="7754" max="7754" width="23.54296875" style="107" bestFit="1" customWidth="1"/>
    <col min="7755" max="7756" width="23.7265625" style="107" bestFit="1" customWidth="1"/>
    <col min="7757" max="7757" width="25.81640625" style="107" bestFit="1" customWidth="1"/>
    <col min="7758" max="7759" width="25.7265625" style="107" bestFit="1" customWidth="1"/>
    <col min="7760" max="7761" width="23.7265625" style="107" bestFit="1" customWidth="1"/>
    <col min="7762" max="7762" width="23.54296875" style="107" bestFit="1" customWidth="1"/>
    <col min="7763" max="7763" width="25.54296875" style="107" bestFit="1" customWidth="1"/>
    <col min="7764" max="7764" width="23.54296875" style="107" bestFit="1" customWidth="1"/>
    <col min="7765" max="7765" width="23.453125" style="107" bestFit="1" customWidth="1"/>
    <col min="7766" max="7767" width="24.453125" style="107" bestFit="1" customWidth="1"/>
    <col min="7768" max="7768" width="22.7265625" style="107" bestFit="1" customWidth="1"/>
    <col min="7769" max="7769" width="24" style="107" bestFit="1" customWidth="1"/>
    <col min="7770" max="7770" width="22.1796875" style="107" bestFit="1" customWidth="1"/>
    <col min="7771" max="7771" width="18.7265625" style="107" bestFit="1" customWidth="1"/>
    <col min="7772" max="7772" width="14.54296875" style="107" bestFit="1" customWidth="1"/>
    <col min="7773" max="7773" width="22.54296875" style="107" bestFit="1" customWidth="1"/>
    <col min="7774" max="7774" width="23.453125" style="107" bestFit="1" customWidth="1"/>
    <col min="7775" max="7936" width="26" style="107"/>
    <col min="7937" max="7937" width="34.7265625" style="107" customWidth="1"/>
    <col min="7938" max="7938" width="17" style="107" bestFit="1" customWidth="1"/>
    <col min="7939" max="7939" width="20.7265625" style="107" bestFit="1" customWidth="1"/>
    <col min="7940" max="7940" width="12.26953125" style="107" bestFit="1" customWidth="1"/>
    <col min="7941" max="7941" width="25.7265625" style="107" bestFit="1" customWidth="1"/>
    <col min="7942" max="7942" width="24.7265625" style="107" bestFit="1" customWidth="1"/>
    <col min="7943" max="7943" width="25.7265625" style="107" bestFit="1" customWidth="1"/>
    <col min="7944" max="7944" width="23.81640625" style="107" bestFit="1" customWidth="1"/>
    <col min="7945" max="7945" width="25.7265625" style="107" bestFit="1" customWidth="1"/>
    <col min="7946" max="7946" width="26" style="107" customWidth="1"/>
    <col min="7947" max="7947" width="25.7265625" style="107" bestFit="1" customWidth="1"/>
    <col min="7948" max="7948" width="26" style="107" customWidth="1"/>
    <col min="7949" max="7949" width="25.7265625" style="107" bestFit="1" customWidth="1"/>
    <col min="7950" max="7950" width="25.54296875" style="107" bestFit="1" customWidth="1"/>
    <col min="7951" max="7951" width="25.7265625" style="107" bestFit="1" customWidth="1"/>
    <col min="7952" max="7952" width="25.54296875" style="107" bestFit="1" customWidth="1"/>
    <col min="7953" max="7953" width="25.7265625" style="107" bestFit="1" customWidth="1"/>
    <col min="7954" max="7954" width="24.81640625" style="107" bestFit="1" customWidth="1"/>
    <col min="7955" max="7955" width="23.7265625" style="107" bestFit="1" customWidth="1"/>
    <col min="7956" max="7956" width="24.81640625" style="107" bestFit="1" customWidth="1"/>
    <col min="7957" max="7957" width="23.7265625" style="107" bestFit="1" customWidth="1"/>
    <col min="7958" max="7958" width="24.81640625" style="107" bestFit="1" customWidth="1"/>
    <col min="7959" max="7964" width="25.7265625" style="107" bestFit="1" customWidth="1"/>
    <col min="7965" max="7971" width="22.81640625" style="107" bestFit="1" customWidth="1"/>
    <col min="7972" max="7972" width="23.1796875" style="107" bestFit="1" customWidth="1"/>
    <col min="7973" max="7973" width="22.81640625" style="107" bestFit="1" customWidth="1"/>
    <col min="7974" max="7974" width="23.1796875" style="107" bestFit="1" customWidth="1"/>
    <col min="7975" max="7975" width="22.81640625" style="107" bestFit="1" customWidth="1"/>
    <col min="7976" max="7976" width="23.1796875" style="107" bestFit="1" customWidth="1"/>
    <col min="7977" max="7977" width="23.54296875" style="107" bestFit="1" customWidth="1"/>
    <col min="7978" max="7978" width="24.81640625" style="107" bestFit="1" customWidth="1"/>
    <col min="7979" max="7979" width="23.54296875" style="107" bestFit="1" customWidth="1"/>
    <col min="7980" max="7980" width="24.81640625" style="107" bestFit="1" customWidth="1"/>
    <col min="7981" max="7981" width="23.54296875" style="107" bestFit="1" customWidth="1"/>
    <col min="7982" max="7982" width="24.81640625" style="107" bestFit="1" customWidth="1"/>
    <col min="7983" max="7984" width="22.81640625" style="107" bestFit="1" customWidth="1"/>
    <col min="7985" max="7985" width="25" style="107" bestFit="1" customWidth="1"/>
    <col min="7986" max="7986" width="22.81640625" style="107" bestFit="1" customWidth="1"/>
    <col min="7987" max="7987" width="25" style="107" bestFit="1" customWidth="1"/>
    <col min="7988" max="7988" width="22.81640625" style="107" bestFit="1" customWidth="1"/>
    <col min="7989" max="7989" width="25" style="107" bestFit="1" customWidth="1"/>
    <col min="7990" max="7990" width="22.26953125" style="107" bestFit="1" customWidth="1"/>
    <col min="7991" max="7991" width="20.81640625" style="107" bestFit="1" customWidth="1"/>
    <col min="7992" max="7992" width="22.26953125" style="107" bestFit="1" customWidth="1"/>
    <col min="7993" max="7993" width="20.81640625" style="107" bestFit="1" customWidth="1"/>
    <col min="7994" max="7994" width="22.26953125" style="107" bestFit="1" customWidth="1"/>
    <col min="7995" max="7995" width="20.81640625" style="107" bestFit="1" customWidth="1"/>
    <col min="7996" max="7996" width="22.26953125" style="107" bestFit="1" customWidth="1"/>
    <col min="7997" max="7997" width="22" style="107" bestFit="1" customWidth="1"/>
    <col min="7998" max="7998" width="22.26953125" style="107" bestFit="1" customWidth="1"/>
    <col min="7999" max="7999" width="22.7265625" style="107" bestFit="1" customWidth="1"/>
    <col min="8000" max="8000" width="23.81640625" style="107" bestFit="1" customWidth="1"/>
    <col min="8001" max="8001" width="25" style="107" bestFit="1" customWidth="1"/>
    <col min="8002" max="8002" width="23.453125" style="107" bestFit="1" customWidth="1"/>
    <col min="8003" max="8003" width="25" style="107" bestFit="1" customWidth="1"/>
    <col min="8004" max="8004" width="22.26953125" style="107" bestFit="1" customWidth="1"/>
    <col min="8005" max="8005" width="26" style="107" customWidth="1"/>
    <col min="8006" max="8006" width="22.26953125" style="107" bestFit="1" customWidth="1"/>
    <col min="8007" max="8007" width="19.54296875" style="107" bestFit="1" customWidth="1"/>
    <col min="8008" max="8008" width="22.26953125" style="107" bestFit="1" customWidth="1"/>
    <col min="8009" max="8009" width="26" style="107" customWidth="1"/>
    <col min="8010" max="8010" width="23.54296875" style="107" bestFit="1" customWidth="1"/>
    <col min="8011" max="8012" width="23.7265625" style="107" bestFit="1" customWidth="1"/>
    <col min="8013" max="8013" width="25.81640625" style="107" bestFit="1" customWidth="1"/>
    <col min="8014" max="8015" width="25.7265625" style="107" bestFit="1" customWidth="1"/>
    <col min="8016" max="8017" width="23.7265625" style="107" bestFit="1" customWidth="1"/>
    <col min="8018" max="8018" width="23.54296875" style="107" bestFit="1" customWidth="1"/>
    <col min="8019" max="8019" width="25.54296875" style="107" bestFit="1" customWidth="1"/>
    <col min="8020" max="8020" width="23.54296875" style="107" bestFit="1" customWidth="1"/>
    <col min="8021" max="8021" width="23.453125" style="107" bestFit="1" customWidth="1"/>
    <col min="8022" max="8023" width="24.453125" style="107" bestFit="1" customWidth="1"/>
    <col min="8024" max="8024" width="22.7265625" style="107" bestFit="1" customWidth="1"/>
    <col min="8025" max="8025" width="24" style="107" bestFit="1" customWidth="1"/>
    <col min="8026" max="8026" width="22.1796875" style="107" bestFit="1" customWidth="1"/>
    <col min="8027" max="8027" width="18.7265625" style="107" bestFit="1" customWidth="1"/>
    <col min="8028" max="8028" width="14.54296875" style="107" bestFit="1" customWidth="1"/>
    <col min="8029" max="8029" width="22.54296875" style="107" bestFit="1" customWidth="1"/>
    <col min="8030" max="8030" width="23.453125" style="107" bestFit="1" customWidth="1"/>
    <col min="8031" max="8192" width="26" style="107"/>
    <col min="8193" max="8193" width="34.7265625" style="107" customWidth="1"/>
    <col min="8194" max="8194" width="17" style="107" bestFit="1" customWidth="1"/>
    <col min="8195" max="8195" width="20.7265625" style="107" bestFit="1" customWidth="1"/>
    <col min="8196" max="8196" width="12.26953125" style="107" bestFit="1" customWidth="1"/>
    <col min="8197" max="8197" width="25.7265625" style="107" bestFit="1" customWidth="1"/>
    <col min="8198" max="8198" width="24.7265625" style="107" bestFit="1" customWidth="1"/>
    <col min="8199" max="8199" width="25.7265625" style="107" bestFit="1" customWidth="1"/>
    <col min="8200" max="8200" width="23.81640625" style="107" bestFit="1" customWidth="1"/>
    <col min="8201" max="8201" width="25.7265625" style="107" bestFit="1" customWidth="1"/>
    <col min="8202" max="8202" width="26" style="107" customWidth="1"/>
    <col min="8203" max="8203" width="25.7265625" style="107" bestFit="1" customWidth="1"/>
    <col min="8204" max="8204" width="26" style="107" customWidth="1"/>
    <col min="8205" max="8205" width="25.7265625" style="107" bestFit="1" customWidth="1"/>
    <col min="8206" max="8206" width="25.54296875" style="107" bestFit="1" customWidth="1"/>
    <col min="8207" max="8207" width="25.7265625" style="107" bestFit="1" customWidth="1"/>
    <col min="8208" max="8208" width="25.54296875" style="107" bestFit="1" customWidth="1"/>
    <col min="8209" max="8209" width="25.7265625" style="107" bestFit="1" customWidth="1"/>
    <col min="8210" max="8210" width="24.81640625" style="107" bestFit="1" customWidth="1"/>
    <col min="8211" max="8211" width="23.7265625" style="107" bestFit="1" customWidth="1"/>
    <col min="8212" max="8212" width="24.81640625" style="107" bestFit="1" customWidth="1"/>
    <col min="8213" max="8213" width="23.7265625" style="107" bestFit="1" customWidth="1"/>
    <col min="8214" max="8214" width="24.81640625" style="107" bestFit="1" customWidth="1"/>
    <col min="8215" max="8220" width="25.7265625" style="107" bestFit="1" customWidth="1"/>
    <col min="8221" max="8227" width="22.81640625" style="107" bestFit="1" customWidth="1"/>
    <col min="8228" max="8228" width="23.1796875" style="107" bestFit="1" customWidth="1"/>
    <col min="8229" max="8229" width="22.81640625" style="107" bestFit="1" customWidth="1"/>
    <col min="8230" max="8230" width="23.1796875" style="107" bestFit="1" customWidth="1"/>
    <col min="8231" max="8231" width="22.81640625" style="107" bestFit="1" customWidth="1"/>
    <col min="8232" max="8232" width="23.1796875" style="107" bestFit="1" customWidth="1"/>
    <col min="8233" max="8233" width="23.54296875" style="107" bestFit="1" customWidth="1"/>
    <col min="8234" max="8234" width="24.81640625" style="107" bestFit="1" customWidth="1"/>
    <col min="8235" max="8235" width="23.54296875" style="107" bestFit="1" customWidth="1"/>
    <col min="8236" max="8236" width="24.81640625" style="107" bestFit="1" customWidth="1"/>
    <col min="8237" max="8237" width="23.54296875" style="107" bestFit="1" customWidth="1"/>
    <col min="8238" max="8238" width="24.81640625" style="107" bestFit="1" customWidth="1"/>
    <col min="8239" max="8240" width="22.81640625" style="107" bestFit="1" customWidth="1"/>
    <col min="8241" max="8241" width="25" style="107" bestFit="1" customWidth="1"/>
    <col min="8242" max="8242" width="22.81640625" style="107" bestFit="1" customWidth="1"/>
    <col min="8243" max="8243" width="25" style="107" bestFit="1" customWidth="1"/>
    <col min="8244" max="8244" width="22.81640625" style="107" bestFit="1" customWidth="1"/>
    <col min="8245" max="8245" width="25" style="107" bestFit="1" customWidth="1"/>
    <col min="8246" max="8246" width="22.26953125" style="107" bestFit="1" customWidth="1"/>
    <col min="8247" max="8247" width="20.81640625" style="107" bestFit="1" customWidth="1"/>
    <col min="8248" max="8248" width="22.26953125" style="107" bestFit="1" customWidth="1"/>
    <col min="8249" max="8249" width="20.81640625" style="107" bestFit="1" customWidth="1"/>
    <col min="8250" max="8250" width="22.26953125" style="107" bestFit="1" customWidth="1"/>
    <col min="8251" max="8251" width="20.81640625" style="107" bestFit="1" customWidth="1"/>
    <col min="8252" max="8252" width="22.26953125" style="107" bestFit="1" customWidth="1"/>
    <col min="8253" max="8253" width="22" style="107" bestFit="1" customWidth="1"/>
    <col min="8254" max="8254" width="22.26953125" style="107" bestFit="1" customWidth="1"/>
    <col min="8255" max="8255" width="22.7265625" style="107" bestFit="1" customWidth="1"/>
    <col min="8256" max="8256" width="23.81640625" style="107" bestFit="1" customWidth="1"/>
    <col min="8257" max="8257" width="25" style="107" bestFit="1" customWidth="1"/>
    <col min="8258" max="8258" width="23.453125" style="107" bestFit="1" customWidth="1"/>
    <col min="8259" max="8259" width="25" style="107" bestFit="1" customWidth="1"/>
    <col min="8260" max="8260" width="22.26953125" style="107" bestFit="1" customWidth="1"/>
    <col min="8261" max="8261" width="26" style="107" customWidth="1"/>
    <col min="8262" max="8262" width="22.26953125" style="107" bestFit="1" customWidth="1"/>
    <col min="8263" max="8263" width="19.54296875" style="107" bestFit="1" customWidth="1"/>
    <col min="8264" max="8264" width="22.26953125" style="107" bestFit="1" customWidth="1"/>
    <col min="8265" max="8265" width="26" style="107" customWidth="1"/>
    <col min="8266" max="8266" width="23.54296875" style="107" bestFit="1" customWidth="1"/>
    <col min="8267" max="8268" width="23.7265625" style="107" bestFit="1" customWidth="1"/>
    <col min="8269" max="8269" width="25.81640625" style="107" bestFit="1" customWidth="1"/>
    <col min="8270" max="8271" width="25.7265625" style="107" bestFit="1" customWidth="1"/>
    <col min="8272" max="8273" width="23.7265625" style="107" bestFit="1" customWidth="1"/>
    <col min="8274" max="8274" width="23.54296875" style="107" bestFit="1" customWidth="1"/>
    <col min="8275" max="8275" width="25.54296875" style="107" bestFit="1" customWidth="1"/>
    <col min="8276" max="8276" width="23.54296875" style="107" bestFit="1" customWidth="1"/>
    <col min="8277" max="8277" width="23.453125" style="107" bestFit="1" customWidth="1"/>
    <col min="8278" max="8279" width="24.453125" style="107" bestFit="1" customWidth="1"/>
    <col min="8280" max="8280" width="22.7265625" style="107" bestFit="1" customWidth="1"/>
    <col min="8281" max="8281" width="24" style="107" bestFit="1" customWidth="1"/>
    <col min="8282" max="8282" width="22.1796875" style="107" bestFit="1" customWidth="1"/>
    <col min="8283" max="8283" width="18.7265625" style="107" bestFit="1" customWidth="1"/>
    <col min="8284" max="8284" width="14.54296875" style="107" bestFit="1" customWidth="1"/>
    <col min="8285" max="8285" width="22.54296875" style="107" bestFit="1" customWidth="1"/>
    <col min="8286" max="8286" width="23.453125" style="107" bestFit="1" customWidth="1"/>
    <col min="8287" max="8448" width="26" style="107"/>
    <col min="8449" max="8449" width="34.7265625" style="107" customWidth="1"/>
    <col min="8450" max="8450" width="17" style="107" bestFit="1" customWidth="1"/>
    <col min="8451" max="8451" width="20.7265625" style="107" bestFit="1" customWidth="1"/>
    <col min="8452" max="8452" width="12.26953125" style="107" bestFit="1" customWidth="1"/>
    <col min="8453" max="8453" width="25.7265625" style="107" bestFit="1" customWidth="1"/>
    <col min="8454" max="8454" width="24.7265625" style="107" bestFit="1" customWidth="1"/>
    <col min="8455" max="8455" width="25.7265625" style="107" bestFit="1" customWidth="1"/>
    <col min="8456" max="8456" width="23.81640625" style="107" bestFit="1" customWidth="1"/>
    <col min="8457" max="8457" width="25.7265625" style="107" bestFit="1" customWidth="1"/>
    <col min="8458" max="8458" width="26" style="107" customWidth="1"/>
    <col min="8459" max="8459" width="25.7265625" style="107" bestFit="1" customWidth="1"/>
    <col min="8460" max="8460" width="26" style="107" customWidth="1"/>
    <col min="8461" max="8461" width="25.7265625" style="107" bestFit="1" customWidth="1"/>
    <col min="8462" max="8462" width="25.54296875" style="107" bestFit="1" customWidth="1"/>
    <col min="8463" max="8463" width="25.7265625" style="107" bestFit="1" customWidth="1"/>
    <col min="8464" max="8464" width="25.54296875" style="107" bestFit="1" customWidth="1"/>
    <col min="8465" max="8465" width="25.7265625" style="107" bestFit="1" customWidth="1"/>
    <col min="8466" max="8466" width="24.81640625" style="107" bestFit="1" customWidth="1"/>
    <col min="8467" max="8467" width="23.7265625" style="107" bestFit="1" customWidth="1"/>
    <col min="8468" max="8468" width="24.81640625" style="107" bestFit="1" customWidth="1"/>
    <col min="8469" max="8469" width="23.7265625" style="107" bestFit="1" customWidth="1"/>
    <col min="8470" max="8470" width="24.81640625" style="107" bestFit="1" customWidth="1"/>
    <col min="8471" max="8476" width="25.7265625" style="107" bestFit="1" customWidth="1"/>
    <col min="8477" max="8483" width="22.81640625" style="107" bestFit="1" customWidth="1"/>
    <col min="8484" max="8484" width="23.1796875" style="107" bestFit="1" customWidth="1"/>
    <col min="8485" max="8485" width="22.81640625" style="107" bestFit="1" customWidth="1"/>
    <col min="8486" max="8486" width="23.1796875" style="107" bestFit="1" customWidth="1"/>
    <col min="8487" max="8487" width="22.81640625" style="107" bestFit="1" customWidth="1"/>
    <col min="8488" max="8488" width="23.1796875" style="107" bestFit="1" customWidth="1"/>
    <col min="8489" max="8489" width="23.54296875" style="107" bestFit="1" customWidth="1"/>
    <col min="8490" max="8490" width="24.81640625" style="107" bestFit="1" customWidth="1"/>
    <col min="8491" max="8491" width="23.54296875" style="107" bestFit="1" customWidth="1"/>
    <col min="8492" max="8492" width="24.81640625" style="107" bestFit="1" customWidth="1"/>
    <col min="8493" max="8493" width="23.54296875" style="107" bestFit="1" customWidth="1"/>
    <col min="8494" max="8494" width="24.81640625" style="107" bestFit="1" customWidth="1"/>
    <col min="8495" max="8496" width="22.81640625" style="107" bestFit="1" customWidth="1"/>
    <col min="8497" max="8497" width="25" style="107" bestFit="1" customWidth="1"/>
    <col min="8498" max="8498" width="22.81640625" style="107" bestFit="1" customWidth="1"/>
    <col min="8499" max="8499" width="25" style="107" bestFit="1" customWidth="1"/>
    <col min="8500" max="8500" width="22.81640625" style="107" bestFit="1" customWidth="1"/>
    <col min="8501" max="8501" width="25" style="107" bestFit="1" customWidth="1"/>
    <col min="8502" max="8502" width="22.26953125" style="107" bestFit="1" customWidth="1"/>
    <col min="8503" max="8503" width="20.81640625" style="107" bestFit="1" customWidth="1"/>
    <col min="8504" max="8504" width="22.26953125" style="107" bestFit="1" customWidth="1"/>
    <col min="8505" max="8505" width="20.81640625" style="107" bestFit="1" customWidth="1"/>
    <col min="8506" max="8506" width="22.26953125" style="107" bestFit="1" customWidth="1"/>
    <col min="8507" max="8507" width="20.81640625" style="107" bestFit="1" customWidth="1"/>
    <col min="8508" max="8508" width="22.26953125" style="107" bestFit="1" customWidth="1"/>
    <col min="8509" max="8509" width="22" style="107" bestFit="1" customWidth="1"/>
    <col min="8510" max="8510" width="22.26953125" style="107" bestFit="1" customWidth="1"/>
    <col min="8511" max="8511" width="22.7265625" style="107" bestFit="1" customWidth="1"/>
    <col min="8512" max="8512" width="23.81640625" style="107" bestFit="1" customWidth="1"/>
    <col min="8513" max="8513" width="25" style="107" bestFit="1" customWidth="1"/>
    <col min="8514" max="8514" width="23.453125" style="107" bestFit="1" customWidth="1"/>
    <col min="8515" max="8515" width="25" style="107" bestFit="1" customWidth="1"/>
    <col min="8516" max="8516" width="22.26953125" style="107" bestFit="1" customWidth="1"/>
    <col min="8517" max="8517" width="26" style="107" customWidth="1"/>
    <col min="8518" max="8518" width="22.26953125" style="107" bestFit="1" customWidth="1"/>
    <col min="8519" max="8519" width="19.54296875" style="107" bestFit="1" customWidth="1"/>
    <col min="8520" max="8520" width="22.26953125" style="107" bestFit="1" customWidth="1"/>
    <col min="8521" max="8521" width="26" style="107" customWidth="1"/>
    <col min="8522" max="8522" width="23.54296875" style="107" bestFit="1" customWidth="1"/>
    <col min="8523" max="8524" width="23.7265625" style="107" bestFit="1" customWidth="1"/>
    <col min="8525" max="8525" width="25.81640625" style="107" bestFit="1" customWidth="1"/>
    <col min="8526" max="8527" width="25.7265625" style="107" bestFit="1" customWidth="1"/>
    <col min="8528" max="8529" width="23.7265625" style="107" bestFit="1" customWidth="1"/>
    <col min="8530" max="8530" width="23.54296875" style="107" bestFit="1" customWidth="1"/>
    <col min="8531" max="8531" width="25.54296875" style="107" bestFit="1" customWidth="1"/>
    <col min="8532" max="8532" width="23.54296875" style="107" bestFit="1" customWidth="1"/>
    <col min="8533" max="8533" width="23.453125" style="107" bestFit="1" customWidth="1"/>
    <col min="8534" max="8535" width="24.453125" style="107" bestFit="1" customWidth="1"/>
    <col min="8536" max="8536" width="22.7265625" style="107" bestFit="1" customWidth="1"/>
    <col min="8537" max="8537" width="24" style="107" bestFit="1" customWidth="1"/>
    <col min="8538" max="8538" width="22.1796875" style="107" bestFit="1" customWidth="1"/>
    <col min="8539" max="8539" width="18.7265625" style="107" bestFit="1" customWidth="1"/>
    <col min="8540" max="8540" width="14.54296875" style="107" bestFit="1" customWidth="1"/>
    <col min="8541" max="8541" width="22.54296875" style="107" bestFit="1" customWidth="1"/>
    <col min="8542" max="8542" width="23.453125" style="107" bestFit="1" customWidth="1"/>
    <col min="8543" max="8704" width="26" style="107"/>
    <col min="8705" max="8705" width="34.7265625" style="107" customWidth="1"/>
    <col min="8706" max="8706" width="17" style="107" bestFit="1" customWidth="1"/>
    <col min="8707" max="8707" width="20.7265625" style="107" bestFit="1" customWidth="1"/>
    <col min="8708" max="8708" width="12.26953125" style="107" bestFit="1" customWidth="1"/>
    <col min="8709" max="8709" width="25.7265625" style="107" bestFit="1" customWidth="1"/>
    <col min="8710" max="8710" width="24.7265625" style="107" bestFit="1" customWidth="1"/>
    <col min="8711" max="8711" width="25.7265625" style="107" bestFit="1" customWidth="1"/>
    <col min="8712" max="8712" width="23.81640625" style="107" bestFit="1" customWidth="1"/>
    <col min="8713" max="8713" width="25.7265625" style="107" bestFit="1" customWidth="1"/>
    <col min="8714" max="8714" width="26" style="107" customWidth="1"/>
    <col min="8715" max="8715" width="25.7265625" style="107" bestFit="1" customWidth="1"/>
    <col min="8716" max="8716" width="26" style="107" customWidth="1"/>
    <col min="8717" max="8717" width="25.7265625" style="107" bestFit="1" customWidth="1"/>
    <col min="8718" max="8718" width="25.54296875" style="107" bestFit="1" customWidth="1"/>
    <col min="8719" max="8719" width="25.7265625" style="107" bestFit="1" customWidth="1"/>
    <col min="8720" max="8720" width="25.54296875" style="107" bestFit="1" customWidth="1"/>
    <col min="8721" max="8721" width="25.7265625" style="107" bestFit="1" customWidth="1"/>
    <col min="8722" max="8722" width="24.81640625" style="107" bestFit="1" customWidth="1"/>
    <col min="8723" max="8723" width="23.7265625" style="107" bestFit="1" customWidth="1"/>
    <col min="8724" max="8724" width="24.81640625" style="107" bestFit="1" customWidth="1"/>
    <col min="8725" max="8725" width="23.7265625" style="107" bestFit="1" customWidth="1"/>
    <col min="8726" max="8726" width="24.81640625" style="107" bestFit="1" customWidth="1"/>
    <col min="8727" max="8732" width="25.7265625" style="107" bestFit="1" customWidth="1"/>
    <col min="8733" max="8739" width="22.81640625" style="107" bestFit="1" customWidth="1"/>
    <col min="8740" max="8740" width="23.1796875" style="107" bestFit="1" customWidth="1"/>
    <col min="8741" max="8741" width="22.81640625" style="107" bestFit="1" customWidth="1"/>
    <col min="8742" max="8742" width="23.1796875" style="107" bestFit="1" customWidth="1"/>
    <col min="8743" max="8743" width="22.81640625" style="107" bestFit="1" customWidth="1"/>
    <col min="8744" max="8744" width="23.1796875" style="107" bestFit="1" customWidth="1"/>
    <col min="8745" max="8745" width="23.54296875" style="107" bestFit="1" customWidth="1"/>
    <col min="8746" max="8746" width="24.81640625" style="107" bestFit="1" customWidth="1"/>
    <col min="8747" max="8747" width="23.54296875" style="107" bestFit="1" customWidth="1"/>
    <col min="8748" max="8748" width="24.81640625" style="107" bestFit="1" customWidth="1"/>
    <col min="8749" max="8749" width="23.54296875" style="107" bestFit="1" customWidth="1"/>
    <col min="8750" max="8750" width="24.81640625" style="107" bestFit="1" customWidth="1"/>
    <col min="8751" max="8752" width="22.81640625" style="107" bestFit="1" customWidth="1"/>
    <col min="8753" max="8753" width="25" style="107" bestFit="1" customWidth="1"/>
    <col min="8754" max="8754" width="22.81640625" style="107" bestFit="1" customWidth="1"/>
    <col min="8755" max="8755" width="25" style="107" bestFit="1" customWidth="1"/>
    <col min="8756" max="8756" width="22.81640625" style="107" bestFit="1" customWidth="1"/>
    <col min="8757" max="8757" width="25" style="107" bestFit="1" customWidth="1"/>
    <col min="8758" max="8758" width="22.26953125" style="107" bestFit="1" customWidth="1"/>
    <col min="8759" max="8759" width="20.81640625" style="107" bestFit="1" customWidth="1"/>
    <col min="8760" max="8760" width="22.26953125" style="107" bestFit="1" customWidth="1"/>
    <col min="8761" max="8761" width="20.81640625" style="107" bestFit="1" customWidth="1"/>
    <col min="8762" max="8762" width="22.26953125" style="107" bestFit="1" customWidth="1"/>
    <col min="8763" max="8763" width="20.81640625" style="107" bestFit="1" customWidth="1"/>
    <col min="8764" max="8764" width="22.26953125" style="107" bestFit="1" customWidth="1"/>
    <col min="8765" max="8765" width="22" style="107" bestFit="1" customWidth="1"/>
    <col min="8766" max="8766" width="22.26953125" style="107" bestFit="1" customWidth="1"/>
    <col min="8767" max="8767" width="22.7265625" style="107" bestFit="1" customWidth="1"/>
    <col min="8768" max="8768" width="23.81640625" style="107" bestFit="1" customWidth="1"/>
    <col min="8769" max="8769" width="25" style="107" bestFit="1" customWidth="1"/>
    <col min="8770" max="8770" width="23.453125" style="107" bestFit="1" customWidth="1"/>
    <col min="8771" max="8771" width="25" style="107" bestFit="1" customWidth="1"/>
    <col min="8772" max="8772" width="22.26953125" style="107" bestFit="1" customWidth="1"/>
    <col min="8773" max="8773" width="26" style="107" customWidth="1"/>
    <col min="8774" max="8774" width="22.26953125" style="107" bestFit="1" customWidth="1"/>
    <col min="8775" max="8775" width="19.54296875" style="107" bestFit="1" customWidth="1"/>
    <col min="8776" max="8776" width="22.26953125" style="107" bestFit="1" customWidth="1"/>
    <col min="8777" max="8777" width="26" style="107" customWidth="1"/>
    <col min="8778" max="8778" width="23.54296875" style="107" bestFit="1" customWidth="1"/>
    <col min="8779" max="8780" width="23.7265625" style="107" bestFit="1" customWidth="1"/>
    <col min="8781" max="8781" width="25.81640625" style="107" bestFit="1" customWidth="1"/>
    <col min="8782" max="8783" width="25.7265625" style="107" bestFit="1" customWidth="1"/>
    <col min="8784" max="8785" width="23.7265625" style="107" bestFit="1" customWidth="1"/>
    <col min="8786" max="8786" width="23.54296875" style="107" bestFit="1" customWidth="1"/>
    <col min="8787" max="8787" width="25.54296875" style="107" bestFit="1" customWidth="1"/>
    <col min="8788" max="8788" width="23.54296875" style="107" bestFit="1" customWidth="1"/>
    <col min="8789" max="8789" width="23.453125" style="107" bestFit="1" customWidth="1"/>
    <col min="8790" max="8791" width="24.453125" style="107" bestFit="1" customWidth="1"/>
    <col min="8792" max="8792" width="22.7265625" style="107" bestFit="1" customWidth="1"/>
    <col min="8793" max="8793" width="24" style="107" bestFit="1" customWidth="1"/>
    <col min="8794" max="8794" width="22.1796875" style="107" bestFit="1" customWidth="1"/>
    <col min="8795" max="8795" width="18.7265625" style="107" bestFit="1" customWidth="1"/>
    <col min="8796" max="8796" width="14.54296875" style="107" bestFit="1" customWidth="1"/>
    <col min="8797" max="8797" width="22.54296875" style="107" bestFit="1" customWidth="1"/>
    <col min="8798" max="8798" width="23.453125" style="107" bestFit="1" customWidth="1"/>
    <col min="8799" max="8960" width="26" style="107"/>
    <col min="8961" max="8961" width="34.7265625" style="107" customWidth="1"/>
    <col min="8962" max="8962" width="17" style="107" bestFit="1" customWidth="1"/>
    <col min="8963" max="8963" width="20.7265625" style="107" bestFit="1" customWidth="1"/>
    <col min="8964" max="8964" width="12.26953125" style="107" bestFit="1" customWidth="1"/>
    <col min="8965" max="8965" width="25.7265625" style="107" bestFit="1" customWidth="1"/>
    <col min="8966" max="8966" width="24.7265625" style="107" bestFit="1" customWidth="1"/>
    <col min="8967" max="8967" width="25.7265625" style="107" bestFit="1" customWidth="1"/>
    <col min="8968" max="8968" width="23.81640625" style="107" bestFit="1" customWidth="1"/>
    <col min="8969" max="8969" width="25.7265625" style="107" bestFit="1" customWidth="1"/>
    <col min="8970" max="8970" width="26" style="107" customWidth="1"/>
    <col min="8971" max="8971" width="25.7265625" style="107" bestFit="1" customWidth="1"/>
    <col min="8972" max="8972" width="26" style="107" customWidth="1"/>
    <col min="8973" max="8973" width="25.7265625" style="107" bestFit="1" customWidth="1"/>
    <col min="8974" max="8974" width="25.54296875" style="107" bestFit="1" customWidth="1"/>
    <col min="8975" max="8975" width="25.7265625" style="107" bestFit="1" customWidth="1"/>
    <col min="8976" max="8976" width="25.54296875" style="107" bestFit="1" customWidth="1"/>
    <col min="8977" max="8977" width="25.7265625" style="107" bestFit="1" customWidth="1"/>
    <col min="8978" max="8978" width="24.81640625" style="107" bestFit="1" customWidth="1"/>
    <col min="8979" max="8979" width="23.7265625" style="107" bestFit="1" customWidth="1"/>
    <col min="8980" max="8980" width="24.81640625" style="107" bestFit="1" customWidth="1"/>
    <col min="8981" max="8981" width="23.7265625" style="107" bestFit="1" customWidth="1"/>
    <col min="8982" max="8982" width="24.81640625" style="107" bestFit="1" customWidth="1"/>
    <col min="8983" max="8988" width="25.7265625" style="107" bestFit="1" customWidth="1"/>
    <col min="8989" max="8995" width="22.81640625" style="107" bestFit="1" customWidth="1"/>
    <col min="8996" max="8996" width="23.1796875" style="107" bestFit="1" customWidth="1"/>
    <col min="8997" max="8997" width="22.81640625" style="107" bestFit="1" customWidth="1"/>
    <col min="8998" max="8998" width="23.1796875" style="107" bestFit="1" customWidth="1"/>
    <col min="8999" max="8999" width="22.81640625" style="107" bestFit="1" customWidth="1"/>
    <col min="9000" max="9000" width="23.1796875" style="107" bestFit="1" customWidth="1"/>
    <col min="9001" max="9001" width="23.54296875" style="107" bestFit="1" customWidth="1"/>
    <col min="9002" max="9002" width="24.81640625" style="107" bestFit="1" customWidth="1"/>
    <col min="9003" max="9003" width="23.54296875" style="107" bestFit="1" customWidth="1"/>
    <col min="9004" max="9004" width="24.81640625" style="107" bestFit="1" customWidth="1"/>
    <col min="9005" max="9005" width="23.54296875" style="107" bestFit="1" customWidth="1"/>
    <col min="9006" max="9006" width="24.81640625" style="107" bestFit="1" customWidth="1"/>
    <col min="9007" max="9008" width="22.81640625" style="107" bestFit="1" customWidth="1"/>
    <col min="9009" max="9009" width="25" style="107" bestFit="1" customWidth="1"/>
    <col min="9010" max="9010" width="22.81640625" style="107" bestFit="1" customWidth="1"/>
    <col min="9011" max="9011" width="25" style="107" bestFit="1" customWidth="1"/>
    <col min="9012" max="9012" width="22.81640625" style="107" bestFit="1" customWidth="1"/>
    <col min="9013" max="9013" width="25" style="107" bestFit="1" customWidth="1"/>
    <col min="9014" max="9014" width="22.26953125" style="107" bestFit="1" customWidth="1"/>
    <col min="9015" max="9015" width="20.81640625" style="107" bestFit="1" customWidth="1"/>
    <col min="9016" max="9016" width="22.26953125" style="107" bestFit="1" customWidth="1"/>
    <col min="9017" max="9017" width="20.81640625" style="107" bestFit="1" customWidth="1"/>
    <col min="9018" max="9018" width="22.26953125" style="107" bestFit="1" customWidth="1"/>
    <col min="9019" max="9019" width="20.81640625" style="107" bestFit="1" customWidth="1"/>
    <col min="9020" max="9020" width="22.26953125" style="107" bestFit="1" customWidth="1"/>
    <col min="9021" max="9021" width="22" style="107" bestFit="1" customWidth="1"/>
    <col min="9022" max="9022" width="22.26953125" style="107" bestFit="1" customWidth="1"/>
    <col min="9023" max="9023" width="22.7265625" style="107" bestFit="1" customWidth="1"/>
    <col min="9024" max="9024" width="23.81640625" style="107" bestFit="1" customWidth="1"/>
    <col min="9025" max="9025" width="25" style="107" bestFit="1" customWidth="1"/>
    <col min="9026" max="9026" width="23.453125" style="107" bestFit="1" customWidth="1"/>
    <col min="9027" max="9027" width="25" style="107" bestFit="1" customWidth="1"/>
    <col min="9028" max="9028" width="22.26953125" style="107" bestFit="1" customWidth="1"/>
    <col min="9029" max="9029" width="26" style="107" customWidth="1"/>
    <col min="9030" max="9030" width="22.26953125" style="107" bestFit="1" customWidth="1"/>
    <col min="9031" max="9031" width="19.54296875" style="107" bestFit="1" customWidth="1"/>
    <col min="9032" max="9032" width="22.26953125" style="107" bestFit="1" customWidth="1"/>
    <col min="9033" max="9033" width="26" style="107" customWidth="1"/>
    <col min="9034" max="9034" width="23.54296875" style="107" bestFit="1" customWidth="1"/>
    <col min="9035" max="9036" width="23.7265625" style="107" bestFit="1" customWidth="1"/>
    <col min="9037" max="9037" width="25.81640625" style="107" bestFit="1" customWidth="1"/>
    <col min="9038" max="9039" width="25.7265625" style="107" bestFit="1" customWidth="1"/>
    <col min="9040" max="9041" width="23.7265625" style="107" bestFit="1" customWidth="1"/>
    <col min="9042" max="9042" width="23.54296875" style="107" bestFit="1" customWidth="1"/>
    <col min="9043" max="9043" width="25.54296875" style="107" bestFit="1" customWidth="1"/>
    <col min="9044" max="9044" width="23.54296875" style="107" bestFit="1" customWidth="1"/>
    <col min="9045" max="9045" width="23.453125" style="107" bestFit="1" customWidth="1"/>
    <col min="9046" max="9047" width="24.453125" style="107" bestFit="1" customWidth="1"/>
    <col min="9048" max="9048" width="22.7265625" style="107" bestFit="1" customWidth="1"/>
    <col min="9049" max="9049" width="24" style="107" bestFit="1" customWidth="1"/>
    <col min="9050" max="9050" width="22.1796875" style="107" bestFit="1" customWidth="1"/>
    <col min="9051" max="9051" width="18.7265625" style="107" bestFit="1" customWidth="1"/>
    <col min="9052" max="9052" width="14.54296875" style="107" bestFit="1" customWidth="1"/>
    <col min="9053" max="9053" width="22.54296875" style="107" bestFit="1" customWidth="1"/>
    <col min="9054" max="9054" width="23.453125" style="107" bestFit="1" customWidth="1"/>
    <col min="9055" max="9216" width="26" style="107"/>
    <col min="9217" max="9217" width="34.7265625" style="107" customWidth="1"/>
    <col min="9218" max="9218" width="17" style="107" bestFit="1" customWidth="1"/>
    <col min="9219" max="9219" width="20.7265625" style="107" bestFit="1" customWidth="1"/>
    <col min="9220" max="9220" width="12.26953125" style="107" bestFit="1" customWidth="1"/>
    <col min="9221" max="9221" width="25.7265625" style="107" bestFit="1" customWidth="1"/>
    <col min="9222" max="9222" width="24.7265625" style="107" bestFit="1" customWidth="1"/>
    <col min="9223" max="9223" width="25.7265625" style="107" bestFit="1" customWidth="1"/>
    <col min="9224" max="9224" width="23.81640625" style="107" bestFit="1" customWidth="1"/>
    <col min="9225" max="9225" width="25.7265625" style="107" bestFit="1" customWidth="1"/>
    <col min="9226" max="9226" width="26" style="107" customWidth="1"/>
    <col min="9227" max="9227" width="25.7265625" style="107" bestFit="1" customWidth="1"/>
    <col min="9228" max="9228" width="26" style="107" customWidth="1"/>
    <col min="9229" max="9229" width="25.7265625" style="107" bestFit="1" customWidth="1"/>
    <col min="9230" max="9230" width="25.54296875" style="107" bestFit="1" customWidth="1"/>
    <col min="9231" max="9231" width="25.7265625" style="107" bestFit="1" customWidth="1"/>
    <col min="9232" max="9232" width="25.54296875" style="107" bestFit="1" customWidth="1"/>
    <col min="9233" max="9233" width="25.7265625" style="107" bestFit="1" customWidth="1"/>
    <col min="9234" max="9234" width="24.81640625" style="107" bestFit="1" customWidth="1"/>
    <col min="9235" max="9235" width="23.7265625" style="107" bestFit="1" customWidth="1"/>
    <col min="9236" max="9236" width="24.81640625" style="107" bestFit="1" customWidth="1"/>
    <col min="9237" max="9237" width="23.7265625" style="107" bestFit="1" customWidth="1"/>
    <col min="9238" max="9238" width="24.81640625" style="107" bestFit="1" customWidth="1"/>
    <col min="9239" max="9244" width="25.7265625" style="107" bestFit="1" customWidth="1"/>
    <col min="9245" max="9251" width="22.81640625" style="107" bestFit="1" customWidth="1"/>
    <col min="9252" max="9252" width="23.1796875" style="107" bestFit="1" customWidth="1"/>
    <col min="9253" max="9253" width="22.81640625" style="107" bestFit="1" customWidth="1"/>
    <col min="9254" max="9254" width="23.1796875" style="107" bestFit="1" customWidth="1"/>
    <col min="9255" max="9255" width="22.81640625" style="107" bestFit="1" customWidth="1"/>
    <col min="9256" max="9256" width="23.1796875" style="107" bestFit="1" customWidth="1"/>
    <col min="9257" max="9257" width="23.54296875" style="107" bestFit="1" customWidth="1"/>
    <col min="9258" max="9258" width="24.81640625" style="107" bestFit="1" customWidth="1"/>
    <col min="9259" max="9259" width="23.54296875" style="107" bestFit="1" customWidth="1"/>
    <col min="9260" max="9260" width="24.81640625" style="107" bestFit="1" customWidth="1"/>
    <col min="9261" max="9261" width="23.54296875" style="107" bestFit="1" customWidth="1"/>
    <col min="9262" max="9262" width="24.81640625" style="107" bestFit="1" customWidth="1"/>
    <col min="9263" max="9264" width="22.81640625" style="107" bestFit="1" customWidth="1"/>
    <col min="9265" max="9265" width="25" style="107" bestFit="1" customWidth="1"/>
    <col min="9266" max="9266" width="22.81640625" style="107" bestFit="1" customWidth="1"/>
    <col min="9267" max="9267" width="25" style="107" bestFit="1" customWidth="1"/>
    <col min="9268" max="9268" width="22.81640625" style="107" bestFit="1" customWidth="1"/>
    <col min="9269" max="9269" width="25" style="107" bestFit="1" customWidth="1"/>
    <col min="9270" max="9270" width="22.26953125" style="107" bestFit="1" customWidth="1"/>
    <col min="9271" max="9271" width="20.81640625" style="107" bestFit="1" customWidth="1"/>
    <col min="9272" max="9272" width="22.26953125" style="107" bestFit="1" customWidth="1"/>
    <col min="9273" max="9273" width="20.81640625" style="107" bestFit="1" customWidth="1"/>
    <col min="9274" max="9274" width="22.26953125" style="107" bestFit="1" customWidth="1"/>
    <col min="9275" max="9275" width="20.81640625" style="107" bestFit="1" customWidth="1"/>
    <col min="9276" max="9276" width="22.26953125" style="107" bestFit="1" customWidth="1"/>
    <col min="9277" max="9277" width="22" style="107" bestFit="1" customWidth="1"/>
    <col min="9278" max="9278" width="22.26953125" style="107" bestFit="1" customWidth="1"/>
    <col min="9279" max="9279" width="22.7265625" style="107" bestFit="1" customWidth="1"/>
    <col min="9280" max="9280" width="23.81640625" style="107" bestFit="1" customWidth="1"/>
    <col min="9281" max="9281" width="25" style="107" bestFit="1" customWidth="1"/>
    <col min="9282" max="9282" width="23.453125" style="107" bestFit="1" customWidth="1"/>
    <col min="9283" max="9283" width="25" style="107" bestFit="1" customWidth="1"/>
    <col min="9284" max="9284" width="22.26953125" style="107" bestFit="1" customWidth="1"/>
    <col min="9285" max="9285" width="26" style="107" customWidth="1"/>
    <col min="9286" max="9286" width="22.26953125" style="107" bestFit="1" customWidth="1"/>
    <col min="9287" max="9287" width="19.54296875" style="107" bestFit="1" customWidth="1"/>
    <col min="9288" max="9288" width="22.26953125" style="107" bestFit="1" customWidth="1"/>
    <col min="9289" max="9289" width="26" style="107" customWidth="1"/>
    <col min="9290" max="9290" width="23.54296875" style="107" bestFit="1" customWidth="1"/>
    <col min="9291" max="9292" width="23.7265625" style="107" bestFit="1" customWidth="1"/>
    <col min="9293" max="9293" width="25.81640625" style="107" bestFit="1" customWidth="1"/>
    <col min="9294" max="9295" width="25.7265625" style="107" bestFit="1" customWidth="1"/>
    <col min="9296" max="9297" width="23.7265625" style="107" bestFit="1" customWidth="1"/>
    <col min="9298" max="9298" width="23.54296875" style="107" bestFit="1" customWidth="1"/>
    <col min="9299" max="9299" width="25.54296875" style="107" bestFit="1" customWidth="1"/>
    <col min="9300" max="9300" width="23.54296875" style="107" bestFit="1" customWidth="1"/>
    <col min="9301" max="9301" width="23.453125" style="107" bestFit="1" customWidth="1"/>
    <col min="9302" max="9303" width="24.453125" style="107" bestFit="1" customWidth="1"/>
    <col min="9304" max="9304" width="22.7265625" style="107" bestFit="1" customWidth="1"/>
    <col min="9305" max="9305" width="24" style="107" bestFit="1" customWidth="1"/>
    <col min="9306" max="9306" width="22.1796875" style="107" bestFit="1" customWidth="1"/>
    <col min="9307" max="9307" width="18.7265625" style="107" bestFit="1" customWidth="1"/>
    <col min="9308" max="9308" width="14.54296875" style="107" bestFit="1" customWidth="1"/>
    <col min="9309" max="9309" width="22.54296875" style="107" bestFit="1" customWidth="1"/>
    <col min="9310" max="9310" width="23.453125" style="107" bestFit="1" customWidth="1"/>
    <col min="9311" max="9472" width="26" style="107"/>
    <col min="9473" max="9473" width="34.7265625" style="107" customWidth="1"/>
    <col min="9474" max="9474" width="17" style="107" bestFit="1" customWidth="1"/>
    <col min="9475" max="9475" width="20.7265625" style="107" bestFit="1" customWidth="1"/>
    <col min="9476" max="9476" width="12.26953125" style="107" bestFit="1" customWidth="1"/>
    <col min="9477" max="9477" width="25.7265625" style="107" bestFit="1" customWidth="1"/>
    <col min="9478" max="9478" width="24.7265625" style="107" bestFit="1" customWidth="1"/>
    <col min="9479" max="9479" width="25.7265625" style="107" bestFit="1" customWidth="1"/>
    <col min="9480" max="9480" width="23.81640625" style="107" bestFit="1" customWidth="1"/>
    <col min="9481" max="9481" width="25.7265625" style="107" bestFit="1" customWidth="1"/>
    <col min="9482" max="9482" width="26" style="107" customWidth="1"/>
    <col min="9483" max="9483" width="25.7265625" style="107" bestFit="1" customWidth="1"/>
    <col min="9484" max="9484" width="26" style="107" customWidth="1"/>
    <col min="9485" max="9485" width="25.7265625" style="107" bestFit="1" customWidth="1"/>
    <col min="9486" max="9486" width="25.54296875" style="107" bestFit="1" customWidth="1"/>
    <col min="9487" max="9487" width="25.7265625" style="107" bestFit="1" customWidth="1"/>
    <col min="9488" max="9488" width="25.54296875" style="107" bestFit="1" customWidth="1"/>
    <col min="9489" max="9489" width="25.7265625" style="107" bestFit="1" customWidth="1"/>
    <col min="9490" max="9490" width="24.81640625" style="107" bestFit="1" customWidth="1"/>
    <col min="9491" max="9491" width="23.7265625" style="107" bestFit="1" customWidth="1"/>
    <col min="9492" max="9492" width="24.81640625" style="107" bestFit="1" customWidth="1"/>
    <col min="9493" max="9493" width="23.7265625" style="107" bestFit="1" customWidth="1"/>
    <col min="9494" max="9494" width="24.81640625" style="107" bestFit="1" customWidth="1"/>
    <col min="9495" max="9500" width="25.7265625" style="107" bestFit="1" customWidth="1"/>
    <col min="9501" max="9507" width="22.81640625" style="107" bestFit="1" customWidth="1"/>
    <col min="9508" max="9508" width="23.1796875" style="107" bestFit="1" customWidth="1"/>
    <col min="9509" max="9509" width="22.81640625" style="107" bestFit="1" customWidth="1"/>
    <col min="9510" max="9510" width="23.1796875" style="107" bestFit="1" customWidth="1"/>
    <col min="9511" max="9511" width="22.81640625" style="107" bestFit="1" customWidth="1"/>
    <col min="9512" max="9512" width="23.1796875" style="107" bestFit="1" customWidth="1"/>
    <col min="9513" max="9513" width="23.54296875" style="107" bestFit="1" customWidth="1"/>
    <col min="9514" max="9514" width="24.81640625" style="107" bestFit="1" customWidth="1"/>
    <col min="9515" max="9515" width="23.54296875" style="107" bestFit="1" customWidth="1"/>
    <col min="9516" max="9516" width="24.81640625" style="107" bestFit="1" customWidth="1"/>
    <col min="9517" max="9517" width="23.54296875" style="107" bestFit="1" customWidth="1"/>
    <col min="9518" max="9518" width="24.81640625" style="107" bestFit="1" customWidth="1"/>
    <col min="9519" max="9520" width="22.81640625" style="107" bestFit="1" customWidth="1"/>
    <col min="9521" max="9521" width="25" style="107" bestFit="1" customWidth="1"/>
    <col min="9522" max="9522" width="22.81640625" style="107" bestFit="1" customWidth="1"/>
    <col min="9523" max="9523" width="25" style="107" bestFit="1" customWidth="1"/>
    <col min="9524" max="9524" width="22.81640625" style="107" bestFit="1" customWidth="1"/>
    <col min="9525" max="9525" width="25" style="107" bestFit="1" customWidth="1"/>
    <col min="9526" max="9526" width="22.26953125" style="107" bestFit="1" customWidth="1"/>
    <col min="9527" max="9527" width="20.81640625" style="107" bestFit="1" customWidth="1"/>
    <col min="9528" max="9528" width="22.26953125" style="107" bestFit="1" customWidth="1"/>
    <col min="9529" max="9529" width="20.81640625" style="107" bestFit="1" customWidth="1"/>
    <col min="9530" max="9530" width="22.26953125" style="107" bestFit="1" customWidth="1"/>
    <col min="9531" max="9531" width="20.81640625" style="107" bestFit="1" customWidth="1"/>
    <col min="9532" max="9532" width="22.26953125" style="107" bestFit="1" customWidth="1"/>
    <col min="9533" max="9533" width="22" style="107" bestFit="1" customWidth="1"/>
    <col min="9534" max="9534" width="22.26953125" style="107" bestFit="1" customWidth="1"/>
    <col min="9535" max="9535" width="22.7265625" style="107" bestFit="1" customWidth="1"/>
    <col min="9536" max="9536" width="23.81640625" style="107" bestFit="1" customWidth="1"/>
    <col min="9537" max="9537" width="25" style="107" bestFit="1" customWidth="1"/>
    <col min="9538" max="9538" width="23.453125" style="107" bestFit="1" customWidth="1"/>
    <col min="9539" max="9539" width="25" style="107" bestFit="1" customWidth="1"/>
    <col min="9540" max="9540" width="22.26953125" style="107" bestFit="1" customWidth="1"/>
    <col min="9541" max="9541" width="26" style="107" customWidth="1"/>
    <col min="9542" max="9542" width="22.26953125" style="107" bestFit="1" customWidth="1"/>
    <col min="9543" max="9543" width="19.54296875" style="107" bestFit="1" customWidth="1"/>
    <col min="9544" max="9544" width="22.26953125" style="107" bestFit="1" customWidth="1"/>
    <col min="9545" max="9545" width="26" style="107" customWidth="1"/>
    <col min="9546" max="9546" width="23.54296875" style="107" bestFit="1" customWidth="1"/>
    <col min="9547" max="9548" width="23.7265625" style="107" bestFit="1" customWidth="1"/>
    <col min="9549" max="9549" width="25.81640625" style="107" bestFit="1" customWidth="1"/>
    <col min="9550" max="9551" width="25.7265625" style="107" bestFit="1" customWidth="1"/>
    <col min="9552" max="9553" width="23.7265625" style="107" bestFit="1" customWidth="1"/>
    <col min="9554" max="9554" width="23.54296875" style="107" bestFit="1" customWidth="1"/>
    <col min="9555" max="9555" width="25.54296875" style="107" bestFit="1" customWidth="1"/>
    <col min="9556" max="9556" width="23.54296875" style="107" bestFit="1" customWidth="1"/>
    <col min="9557" max="9557" width="23.453125" style="107" bestFit="1" customWidth="1"/>
    <col min="9558" max="9559" width="24.453125" style="107" bestFit="1" customWidth="1"/>
    <col min="9560" max="9560" width="22.7265625" style="107" bestFit="1" customWidth="1"/>
    <col min="9561" max="9561" width="24" style="107" bestFit="1" customWidth="1"/>
    <col min="9562" max="9562" width="22.1796875" style="107" bestFit="1" customWidth="1"/>
    <col min="9563" max="9563" width="18.7265625" style="107" bestFit="1" customWidth="1"/>
    <col min="9564" max="9564" width="14.54296875" style="107" bestFit="1" customWidth="1"/>
    <col min="9565" max="9565" width="22.54296875" style="107" bestFit="1" customWidth="1"/>
    <col min="9566" max="9566" width="23.453125" style="107" bestFit="1" customWidth="1"/>
    <col min="9567" max="9728" width="26" style="107"/>
    <col min="9729" max="9729" width="34.7265625" style="107" customWidth="1"/>
    <col min="9730" max="9730" width="17" style="107" bestFit="1" customWidth="1"/>
    <col min="9731" max="9731" width="20.7265625" style="107" bestFit="1" customWidth="1"/>
    <col min="9732" max="9732" width="12.26953125" style="107" bestFit="1" customWidth="1"/>
    <col min="9733" max="9733" width="25.7265625" style="107" bestFit="1" customWidth="1"/>
    <col min="9734" max="9734" width="24.7265625" style="107" bestFit="1" customWidth="1"/>
    <col min="9735" max="9735" width="25.7265625" style="107" bestFit="1" customWidth="1"/>
    <col min="9736" max="9736" width="23.81640625" style="107" bestFit="1" customWidth="1"/>
    <col min="9737" max="9737" width="25.7265625" style="107" bestFit="1" customWidth="1"/>
    <col min="9738" max="9738" width="26" style="107" customWidth="1"/>
    <col min="9739" max="9739" width="25.7265625" style="107" bestFit="1" customWidth="1"/>
    <col min="9740" max="9740" width="26" style="107" customWidth="1"/>
    <col min="9741" max="9741" width="25.7265625" style="107" bestFit="1" customWidth="1"/>
    <col min="9742" max="9742" width="25.54296875" style="107" bestFit="1" customWidth="1"/>
    <col min="9743" max="9743" width="25.7265625" style="107" bestFit="1" customWidth="1"/>
    <col min="9744" max="9744" width="25.54296875" style="107" bestFit="1" customWidth="1"/>
    <col min="9745" max="9745" width="25.7265625" style="107" bestFit="1" customWidth="1"/>
    <col min="9746" max="9746" width="24.81640625" style="107" bestFit="1" customWidth="1"/>
    <col min="9747" max="9747" width="23.7265625" style="107" bestFit="1" customWidth="1"/>
    <col min="9748" max="9748" width="24.81640625" style="107" bestFit="1" customWidth="1"/>
    <col min="9749" max="9749" width="23.7265625" style="107" bestFit="1" customWidth="1"/>
    <col min="9750" max="9750" width="24.81640625" style="107" bestFit="1" customWidth="1"/>
    <col min="9751" max="9756" width="25.7265625" style="107" bestFit="1" customWidth="1"/>
    <col min="9757" max="9763" width="22.81640625" style="107" bestFit="1" customWidth="1"/>
    <col min="9764" max="9764" width="23.1796875" style="107" bestFit="1" customWidth="1"/>
    <col min="9765" max="9765" width="22.81640625" style="107" bestFit="1" customWidth="1"/>
    <col min="9766" max="9766" width="23.1796875" style="107" bestFit="1" customWidth="1"/>
    <col min="9767" max="9767" width="22.81640625" style="107" bestFit="1" customWidth="1"/>
    <col min="9768" max="9768" width="23.1796875" style="107" bestFit="1" customWidth="1"/>
    <col min="9769" max="9769" width="23.54296875" style="107" bestFit="1" customWidth="1"/>
    <col min="9770" max="9770" width="24.81640625" style="107" bestFit="1" customWidth="1"/>
    <col min="9771" max="9771" width="23.54296875" style="107" bestFit="1" customWidth="1"/>
    <col min="9772" max="9772" width="24.81640625" style="107" bestFit="1" customWidth="1"/>
    <col min="9773" max="9773" width="23.54296875" style="107" bestFit="1" customWidth="1"/>
    <col min="9774" max="9774" width="24.81640625" style="107" bestFit="1" customWidth="1"/>
    <col min="9775" max="9776" width="22.81640625" style="107" bestFit="1" customWidth="1"/>
    <col min="9777" max="9777" width="25" style="107" bestFit="1" customWidth="1"/>
    <col min="9778" max="9778" width="22.81640625" style="107" bestFit="1" customWidth="1"/>
    <col min="9779" max="9779" width="25" style="107" bestFit="1" customWidth="1"/>
    <col min="9780" max="9780" width="22.81640625" style="107" bestFit="1" customWidth="1"/>
    <col min="9781" max="9781" width="25" style="107" bestFit="1" customWidth="1"/>
    <col min="9782" max="9782" width="22.26953125" style="107" bestFit="1" customWidth="1"/>
    <col min="9783" max="9783" width="20.81640625" style="107" bestFit="1" customWidth="1"/>
    <col min="9784" max="9784" width="22.26953125" style="107" bestFit="1" customWidth="1"/>
    <col min="9785" max="9785" width="20.81640625" style="107" bestFit="1" customWidth="1"/>
    <col min="9786" max="9786" width="22.26953125" style="107" bestFit="1" customWidth="1"/>
    <col min="9787" max="9787" width="20.81640625" style="107" bestFit="1" customWidth="1"/>
    <col min="9788" max="9788" width="22.26953125" style="107" bestFit="1" customWidth="1"/>
    <col min="9789" max="9789" width="22" style="107" bestFit="1" customWidth="1"/>
    <col min="9790" max="9790" width="22.26953125" style="107" bestFit="1" customWidth="1"/>
    <col min="9791" max="9791" width="22.7265625" style="107" bestFit="1" customWidth="1"/>
    <col min="9792" max="9792" width="23.81640625" style="107" bestFit="1" customWidth="1"/>
    <col min="9793" max="9793" width="25" style="107" bestFit="1" customWidth="1"/>
    <col min="9794" max="9794" width="23.453125" style="107" bestFit="1" customWidth="1"/>
    <col min="9795" max="9795" width="25" style="107" bestFit="1" customWidth="1"/>
    <col min="9796" max="9796" width="22.26953125" style="107" bestFit="1" customWidth="1"/>
    <col min="9797" max="9797" width="26" style="107" customWidth="1"/>
    <col min="9798" max="9798" width="22.26953125" style="107" bestFit="1" customWidth="1"/>
    <col min="9799" max="9799" width="19.54296875" style="107" bestFit="1" customWidth="1"/>
    <col min="9800" max="9800" width="22.26953125" style="107" bestFit="1" customWidth="1"/>
    <col min="9801" max="9801" width="26" style="107" customWidth="1"/>
    <col min="9802" max="9802" width="23.54296875" style="107" bestFit="1" customWidth="1"/>
    <col min="9803" max="9804" width="23.7265625" style="107" bestFit="1" customWidth="1"/>
    <col min="9805" max="9805" width="25.81640625" style="107" bestFit="1" customWidth="1"/>
    <col min="9806" max="9807" width="25.7265625" style="107" bestFit="1" customWidth="1"/>
    <col min="9808" max="9809" width="23.7265625" style="107" bestFit="1" customWidth="1"/>
    <col min="9810" max="9810" width="23.54296875" style="107" bestFit="1" customWidth="1"/>
    <col min="9811" max="9811" width="25.54296875" style="107" bestFit="1" customWidth="1"/>
    <col min="9812" max="9812" width="23.54296875" style="107" bestFit="1" customWidth="1"/>
    <col min="9813" max="9813" width="23.453125" style="107" bestFit="1" customWidth="1"/>
    <col min="9814" max="9815" width="24.453125" style="107" bestFit="1" customWidth="1"/>
    <col min="9816" max="9816" width="22.7265625" style="107" bestFit="1" customWidth="1"/>
    <col min="9817" max="9817" width="24" style="107" bestFit="1" customWidth="1"/>
    <col min="9818" max="9818" width="22.1796875" style="107" bestFit="1" customWidth="1"/>
    <col min="9819" max="9819" width="18.7265625" style="107" bestFit="1" customWidth="1"/>
    <col min="9820" max="9820" width="14.54296875" style="107" bestFit="1" customWidth="1"/>
    <col min="9821" max="9821" width="22.54296875" style="107" bestFit="1" customWidth="1"/>
    <col min="9822" max="9822" width="23.453125" style="107" bestFit="1" customWidth="1"/>
    <col min="9823" max="9984" width="26" style="107"/>
    <col min="9985" max="9985" width="34.7265625" style="107" customWidth="1"/>
    <col min="9986" max="9986" width="17" style="107" bestFit="1" customWidth="1"/>
    <col min="9987" max="9987" width="20.7265625" style="107" bestFit="1" customWidth="1"/>
    <col min="9988" max="9988" width="12.26953125" style="107" bestFit="1" customWidth="1"/>
    <col min="9989" max="9989" width="25.7265625" style="107" bestFit="1" customWidth="1"/>
    <col min="9990" max="9990" width="24.7265625" style="107" bestFit="1" customWidth="1"/>
    <col min="9991" max="9991" width="25.7265625" style="107" bestFit="1" customWidth="1"/>
    <col min="9992" max="9992" width="23.81640625" style="107" bestFit="1" customWidth="1"/>
    <col min="9993" max="9993" width="25.7265625" style="107" bestFit="1" customWidth="1"/>
    <col min="9994" max="9994" width="26" style="107" customWidth="1"/>
    <col min="9995" max="9995" width="25.7265625" style="107" bestFit="1" customWidth="1"/>
    <col min="9996" max="9996" width="26" style="107" customWidth="1"/>
    <col min="9997" max="9997" width="25.7265625" style="107" bestFit="1" customWidth="1"/>
    <col min="9998" max="9998" width="25.54296875" style="107" bestFit="1" customWidth="1"/>
    <col min="9999" max="9999" width="25.7265625" style="107" bestFit="1" customWidth="1"/>
    <col min="10000" max="10000" width="25.54296875" style="107" bestFit="1" customWidth="1"/>
    <col min="10001" max="10001" width="25.7265625" style="107" bestFit="1" customWidth="1"/>
    <col min="10002" max="10002" width="24.81640625" style="107" bestFit="1" customWidth="1"/>
    <col min="10003" max="10003" width="23.7265625" style="107" bestFit="1" customWidth="1"/>
    <col min="10004" max="10004" width="24.81640625" style="107" bestFit="1" customWidth="1"/>
    <col min="10005" max="10005" width="23.7265625" style="107" bestFit="1" customWidth="1"/>
    <col min="10006" max="10006" width="24.81640625" style="107" bestFit="1" customWidth="1"/>
    <col min="10007" max="10012" width="25.7265625" style="107" bestFit="1" customWidth="1"/>
    <col min="10013" max="10019" width="22.81640625" style="107" bestFit="1" customWidth="1"/>
    <col min="10020" max="10020" width="23.1796875" style="107" bestFit="1" customWidth="1"/>
    <col min="10021" max="10021" width="22.81640625" style="107" bestFit="1" customWidth="1"/>
    <col min="10022" max="10022" width="23.1796875" style="107" bestFit="1" customWidth="1"/>
    <col min="10023" max="10023" width="22.81640625" style="107" bestFit="1" customWidth="1"/>
    <col min="10024" max="10024" width="23.1796875" style="107" bestFit="1" customWidth="1"/>
    <col min="10025" max="10025" width="23.54296875" style="107" bestFit="1" customWidth="1"/>
    <col min="10026" max="10026" width="24.81640625" style="107" bestFit="1" customWidth="1"/>
    <col min="10027" max="10027" width="23.54296875" style="107" bestFit="1" customWidth="1"/>
    <col min="10028" max="10028" width="24.81640625" style="107" bestFit="1" customWidth="1"/>
    <col min="10029" max="10029" width="23.54296875" style="107" bestFit="1" customWidth="1"/>
    <col min="10030" max="10030" width="24.81640625" style="107" bestFit="1" customWidth="1"/>
    <col min="10031" max="10032" width="22.81640625" style="107" bestFit="1" customWidth="1"/>
    <col min="10033" max="10033" width="25" style="107" bestFit="1" customWidth="1"/>
    <col min="10034" max="10034" width="22.81640625" style="107" bestFit="1" customWidth="1"/>
    <col min="10035" max="10035" width="25" style="107" bestFit="1" customWidth="1"/>
    <col min="10036" max="10036" width="22.81640625" style="107" bestFit="1" customWidth="1"/>
    <col min="10037" max="10037" width="25" style="107" bestFit="1" customWidth="1"/>
    <col min="10038" max="10038" width="22.26953125" style="107" bestFit="1" customWidth="1"/>
    <col min="10039" max="10039" width="20.81640625" style="107" bestFit="1" customWidth="1"/>
    <col min="10040" max="10040" width="22.26953125" style="107" bestFit="1" customWidth="1"/>
    <col min="10041" max="10041" width="20.81640625" style="107" bestFit="1" customWidth="1"/>
    <col min="10042" max="10042" width="22.26953125" style="107" bestFit="1" customWidth="1"/>
    <col min="10043" max="10043" width="20.81640625" style="107" bestFit="1" customWidth="1"/>
    <col min="10044" max="10044" width="22.26953125" style="107" bestFit="1" customWidth="1"/>
    <col min="10045" max="10045" width="22" style="107" bestFit="1" customWidth="1"/>
    <col min="10046" max="10046" width="22.26953125" style="107" bestFit="1" customWidth="1"/>
    <col min="10047" max="10047" width="22.7265625" style="107" bestFit="1" customWidth="1"/>
    <col min="10048" max="10048" width="23.81640625" style="107" bestFit="1" customWidth="1"/>
    <col min="10049" max="10049" width="25" style="107" bestFit="1" customWidth="1"/>
    <col min="10050" max="10050" width="23.453125" style="107" bestFit="1" customWidth="1"/>
    <col min="10051" max="10051" width="25" style="107" bestFit="1" customWidth="1"/>
    <col min="10052" max="10052" width="22.26953125" style="107" bestFit="1" customWidth="1"/>
    <col min="10053" max="10053" width="26" style="107" customWidth="1"/>
    <col min="10054" max="10054" width="22.26953125" style="107" bestFit="1" customWidth="1"/>
    <col min="10055" max="10055" width="19.54296875" style="107" bestFit="1" customWidth="1"/>
    <col min="10056" max="10056" width="22.26953125" style="107" bestFit="1" customWidth="1"/>
    <col min="10057" max="10057" width="26" style="107" customWidth="1"/>
    <col min="10058" max="10058" width="23.54296875" style="107" bestFit="1" customWidth="1"/>
    <col min="10059" max="10060" width="23.7265625" style="107" bestFit="1" customWidth="1"/>
    <col min="10061" max="10061" width="25.81640625" style="107" bestFit="1" customWidth="1"/>
    <col min="10062" max="10063" width="25.7265625" style="107" bestFit="1" customWidth="1"/>
    <col min="10064" max="10065" width="23.7265625" style="107" bestFit="1" customWidth="1"/>
    <col min="10066" max="10066" width="23.54296875" style="107" bestFit="1" customWidth="1"/>
    <col min="10067" max="10067" width="25.54296875" style="107" bestFit="1" customWidth="1"/>
    <col min="10068" max="10068" width="23.54296875" style="107" bestFit="1" customWidth="1"/>
    <col min="10069" max="10069" width="23.453125" style="107" bestFit="1" customWidth="1"/>
    <col min="10070" max="10071" width="24.453125" style="107" bestFit="1" customWidth="1"/>
    <col min="10072" max="10072" width="22.7265625" style="107" bestFit="1" customWidth="1"/>
    <col min="10073" max="10073" width="24" style="107" bestFit="1" customWidth="1"/>
    <col min="10074" max="10074" width="22.1796875" style="107" bestFit="1" customWidth="1"/>
    <col min="10075" max="10075" width="18.7265625" style="107" bestFit="1" customWidth="1"/>
    <col min="10076" max="10076" width="14.54296875" style="107" bestFit="1" customWidth="1"/>
    <col min="10077" max="10077" width="22.54296875" style="107" bestFit="1" customWidth="1"/>
    <col min="10078" max="10078" width="23.453125" style="107" bestFit="1" customWidth="1"/>
    <col min="10079" max="10240" width="26" style="107"/>
    <col min="10241" max="10241" width="34.7265625" style="107" customWidth="1"/>
    <col min="10242" max="10242" width="17" style="107" bestFit="1" customWidth="1"/>
    <col min="10243" max="10243" width="20.7265625" style="107" bestFit="1" customWidth="1"/>
    <col min="10244" max="10244" width="12.26953125" style="107" bestFit="1" customWidth="1"/>
    <col min="10245" max="10245" width="25.7265625" style="107" bestFit="1" customWidth="1"/>
    <col min="10246" max="10246" width="24.7265625" style="107" bestFit="1" customWidth="1"/>
    <col min="10247" max="10247" width="25.7265625" style="107" bestFit="1" customWidth="1"/>
    <col min="10248" max="10248" width="23.81640625" style="107" bestFit="1" customWidth="1"/>
    <col min="10249" max="10249" width="25.7265625" style="107" bestFit="1" customWidth="1"/>
    <col min="10250" max="10250" width="26" style="107" customWidth="1"/>
    <col min="10251" max="10251" width="25.7265625" style="107" bestFit="1" customWidth="1"/>
    <col min="10252" max="10252" width="26" style="107" customWidth="1"/>
    <col min="10253" max="10253" width="25.7265625" style="107" bestFit="1" customWidth="1"/>
    <col min="10254" max="10254" width="25.54296875" style="107" bestFit="1" customWidth="1"/>
    <col min="10255" max="10255" width="25.7265625" style="107" bestFit="1" customWidth="1"/>
    <col min="10256" max="10256" width="25.54296875" style="107" bestFit="1" customWidth="1"/>
    <col min="10257" max="10257" width="25.7265625" style="107" bestFit="1" customWidth="1"/>
    <col min="10258" max="10258" width="24.81640625" style="107" bestFit="1" customWidth="1"/>
    <col min="10259" max="10259" width="23.7265625" style="107" bestFit="1" customWidth="1"/>
    <col min="10260" max="10260" width="24.81640625" style="107" bestFit="1" customWidth="1"/>
    <col min="10261" max="10261" width="23.7265625" style="107" bestFit="1" customWidth="1"/>
    <col min="10262" max="10262" width="24.81640625" style="107" bestFit="1" customWidth="1"/>
    <col min="10263" max="10268" width="25.7265625" style="107" bestFit="1" customWidth="1"/>
    <col min="10269" max="10275" width="22.81640625" style="107" bestFit="1" customWidth="1"/>
    <col min="10276" max="10276" width="23.1796875" style="107" bestFit="1" customWidth="1"/>
    <col min="10277" max="10277" width="22.81640625" style="107" bestFit="1" customWidth="1"/>
    <col min="10278" max="10278" width="23.1796875" style="107" bestFit="1" customWidth="1"/>
    <col min="10279" max="10279" width="22.81640625" style="107" bestFit="1" customWidth="1"/>
    <col min="10280" max="10280" width="23.1796875" style="107" bestFit="1" customWidth="1"/>
    <col min="10281" max="10281" width="23.54296875" style="107" bestFit="1" customWidth="1"/>
    <col min="10282" max="10282" width="24.81640625" style="107" bestFit="1" customWidth="1"/>
    <col min="10283" max="10283" width="23.54296875" style="107" bestFit="1" customWidth="1"/>
    <col min="10284" max="10284" width="24.81640625" style="107" bestFit="1" customWidth="1"/>
    <col min="10285" max="10285" width="23.54296875" style="107" bestFit="1" customWidth="1"/>
    <col min="10286" max="10286" width="24.81640625" style="107" bestFit="1" customWidth="1"/>
    <col min="10287" max="10288" width="22.81640625" style="107" bestFit="1" customWidth="1"/>
    <col min="10289" max="10289" width="25" style="107" bestFit="1" customWidth="1"/>
    <col min="10290" max="10290" width="22.81640625" style="107" bestFit="1" customWidth="1"/>
    <col min="10291" max="10291" width="25" style="107" bestFit="1" customWidth="1"/>
    <col min="10292" max="10292" width="22.81640625" style="107" bestFit="1" customWidth="1"/>
    <col min="10293" max="10293" width="25" style="107" bestFit="1" customWidth="1"/>
    <col min="10294" max="10294" width="22.26953125" style="107" bestFit="1" customWidth="1"/>
    <col min="10295" max="10295" width="20.81640625" style="107" bestFit="1" customWidth="1"/>
    <col min="10296" max="10296" width="22.26953125" style="107" bestFit="1" customWidth="1"/>
    <col min="10297" max="10297" width="20.81640625" style="107" bestFit="1" customWidth="1"/>
    <col min="10298" max="10298" width="22.26953125" style="107" bestFit="1" customWidth="1"/>
    <col min="10299" max="10299" width="20.81640625" style="107" bestFit="1" customWidth="1"/>
    <col min="10300" max="10300" width="22.26953125" style="107" bestFit="1" customWidth="1"/>
    <col min="10301" max="10301" width="22" style="107" bestFit="1" customWidth="1"/>
    <col min="10302" max="10302" width="22.26953125" style="107" bestFit="1" customWidth="1"/>
    <col min="10303" max="10303" width="22.7265625" style="107" bestFit="1" customWidth="1"/>
    <col min="10304" max="10304" width="23.81640625" style="107" bestFit="1" customWidth="1"/>
    <col min="10305" max="10305" width="25" style="107" bestFit="1" customWidth="1"/>
    <col min="10306" max="10306" width="23.453125" style="107" bestFit="1" customWidth="1"/>
    <col min="10307" max="10307" width="25" style="107" bestFit="1" customWidth="1"/>
    <col min="10308" max="10308" width="22.26953125" style="107" bestFit="1" customWidth="1"/>
    <col min="10309" max="10309" width="26" style="107" customWidth="1"/>
    <col min="10310" max="10310" width="22.26953125" style="107" bestFit="1" customWidth="1"/>
    <col min="10311" max="10311" width="19.54296875" style="107" bestFit="1" customWidth="1"/>
    <col min="10312" max="10312" width="22.26953125" style="107" bestFit="1" customWidth="1"/>
    <col min="10313" max="10313" width="26" style="107" customWidth="1"/>
    <col min="10314" max="10314" width="23.54296875" style="107" bestFit="1" customWidth="1"/>
    <col min="10315" max="10316" width="23.7265625" style="107" bestFit="1" customWidth="1"/>
    <col min="10317" max="10317" width="25.81640625" style="107" bestFit="1" customWidth="1"/>
    <col min="10318" max="10319" width="25.7265625" style="107" bestFit="1" customWidth="1"/>
    <col min="10320" max="10321" width="23.7265625" style="107" bestFit="1" customWidth="1"/>
    <col min="10322" max="10322" width="23.54296875" style="107" bestFit="1" customWidth="1"/>
    <col min="10323" max="10323" width="25.54296875" style="107" bestFit="1" customWidth="1"/>
    <col min="10324" max="10324" width="23.54296875" style="107" bestFit="1" customWidth="1"/>
    <col min="10325" max="10325" width="23.453125" style="107" bestFit="1" customWidth="1"/>
    <col min="10326" max="10327" width="24.453125" style="107" bestFit="1" customWidth="1"/>
    <col min="10328" max="10328" width="22.7265625" style="107" bestFit="1" customWidth="1"/>
    <col min="10329" max="10329" width="24" style="107" bestFit="1" customWidth="1"/>
    <col min="10330" max="10330" width="22.1796875" style="107" bestFit="1" customWidth="1"/>
    <col min="10331" max="10331" width="18.7265625" style="107" bestFit="1" customWidth="1"/>
    <col min="10332" max="10332" width="14.54296875" style="107" bestFit="1" customWidth="1"/>
    <col min="10333" max="10333" width="22.54296875" style="107" bestFit="1" customWidth="1"/>
    <col min="10334" max="10334" width="23.453125" style="107" bestFit="1" customWidth="1"/>
    <col min="10335" max="10496" width="26" style="107"/>
    <col min="10497" max="10497" width="34.7265625" style="107" customWidth="1"/>
    <col min="10498" max="10498" width="17" style="107" bestFit="1" customWidth="1"/>
    <col min="10499" max="10499" width="20.7265625" style="107" bestFit="1" customWidth="1"/>
    <col min="10500" max="10500" width="12.26953125" style="107" bestFit="1" customWidth="1"/>
    <col min="10501" max="10501" width="25.7265625" style="107" bestFit="1" customWidth="1"/>
    <col min="10502" max="10502" width="24.7265625" style="107" bestFit="1" customWidth="1"/>
    <col min="10503" max="10503" width="25.7265625" style="107" bestFit="1" customWidth="1"/>
    <col min="10504" max="10504" width="23.81640625" style="107" bestFit="1" customWidth="1"/>
    <col min="10505" max="10505" width="25.7265625" style="107" bestFit="1" customWidth="1"/>
    <col min="10506" max="10506" width="26" style="107" customWidth="1"/>
    <col min="10507" max="10507" width="25.7265625" style="107" bestFit="1" customWidth="1"/>
    <col min="10508" max="10508" width="26" style="107" customWidth="1"/>
    <col min="10509" max="10509" width="25.7265625" style="107" bestFit="1" customWidth="1"/>
    <col min="10510" max="10510" width="25.54296875" style="107" bestFit="1" customWidth="1"/>
    <col min="10511" max="10511" width="25.7265625" style="107" bestFit="1" customWidth="1"/>
    <col min="10512" max="10512" width="25.54296875" style="107" bestFit="1" customWidth="1"/>
    <col min="10513" max="10513" width="25.7265625" style="107" bestFit="1" customWidth="1"/>
    <col min="10514" max="10514" width="24.81640625" style="107" bestFit="1" customWidth="1"/>
    <col min="10515" max="10515" width="23.7265625" style="107" bestFit="1" customWidth="1"/>
    <col min="10516" max="10516" width="24.81640625" style="107" bestFit="1" customWidth="1"/>
    <col min="10517" max="10517" width="23.7265625" style="107" bestFit="1" customWidth="1"/>
    <col min="10518" max="10518" width="24.81640625" style="107" bestFit="1" customWidth="1"/>
    <col min="10519" max="10524" width="25.7265625" style="107" bestFit="1" customWidth="1"/>
    <col min="10525" max="10531" width="22.81640625" style="107" bestFit="1" customWidth="1"/>
    <col min="10532" max="10532" width="23.1796875" style="107" bestFit="1" customWidth="1"/>
    <col min="10533" max="10533" width="22.81640625" style="107" bestFit="1" customWidth="1"/>
    <col min="10534" max="10534" width="23.1796875" style="107" bestFit="1" customWidth="1"/>
    <col min="10535" max="10535" width="22.81640625" style="107" bestFit="1" customWidth="1"/>
    <col min="10536" max="10536" width="23.1796875" style="107" bestFit="1" customWidth="1"/>
    <col min="10537" max="10537" width="23.54296875" style="107" bestFit="1" customWidth="1"/>
    <col min="10538" max="10538" width="24.81640625" style="107" bestFit="1" customWidth="1"/>
    <col min="10539" max="10539" width="23.54296875" style="107" bestFit="1" customWidth="1"/>
    <col min="10540" max="10540" width="24.81640625" style="107" bestFit="1" customWidth="1"/>
    <col min="10541" max="10541" width="23.54296875" style="107" bestFit="1" customWidth="1"/>
    <col min="10542" max="10542" width="24.81640625" style="107" bestFit="1" customWidth="1"/>
    <col min="10543" max="10544" width="22.81640625" style="107" bestFit="1" customWidth="1"/>
    <col min="10545" max="10545" width="25" style="107" bestFit="1" customWidth="1"/>
    <col min="10546" max="10546" width="22.81640625" style="107" bestFit="1" customWidth="1"/>
    <col min="10547" max="10547" width="25" style="107" bestFit="1" customWidth="1"/>
    <col min="10548" max="10548" width="22.81640625" style="107" bestFit="1" customWidth="1"/>
    <col min="10549" max="10549" width="25" style="107" bestFit="1" customWidth="1"/>
    <col min="10550" max="10550" width="22.26953125" style="107" bestFit="1" customWidth="1"/>
    <col min="10551" max="10551" width="20.81640625" style="107" bestFit="1" customWidth="1"/>
    <col min="10552" max="10552" width="22.26953125" style="107" bestFit="1" customWidth="1"/>
    <col min="10553" max="10553" width="20.81640625" style="107" bestFit="1" customWidth="1"/>
    <col min="10554" max="10554" width="22.26953125" style="107" bestFit="1" customWidth="1"/>
    <col min="10555" max="10555" width="20.81640625" style="107" bestFit="1" customWidth="1"/>
    <col min="10556" max="10556" width="22.26953125" style="107" bestFit="1" customWidth="1"/>
    <col min="10557" max="10557" width="22" style="107" bestFit="1" customWidth="1"/>
    <col min="10558" max="10558" width="22.26953125" style="107" bestFit="1" customWidth="1"/>
    <col min="10559" max="10559" width="22.7265625" style="107" bestFit="1" customWidth="1"/>
    <col min="10560" max="10560" width="23.81640625" style="107" bestFit="1" customWidth="1"/>
    <col min="10561" max="10561" width="25" style="107" bestFit="1" customWidth="1"/>
    <col min="10562" max="10562" width="23.453125" style="107" bestFit="1" customWidth="1"/>
    <col min="10563" max="10563" width="25" style="107" bestFit="1" customWidth="1"/>
    <col min="10564" max="10564" width="22.26953125" style="107" bestFit="1" customWidth="1"/>
    <col min="10565" max="10565" width="26" style="107" customWidth="1"/>
    <col min="10566" max="10566" width="22.26953125" style="107" bestFit="1" customWidth="1"/>
    <col min="10567" max="10567" width="19.54296875" style="107" bestFit="1" customWidth="1"/>
    <col min="10568" max="10568" width="22.26953125" style="107" bestFit="1" customWidth="1"/>
    <col min="10569" max="10569" width="26" style="107" customWidth="1"/>
    <col min="10570" max="10570" width="23.54296875" style="107" bestFit="1" customWidth="1"/>
    <col min="10571" max="10572" width="23.7265625" style="107" bestFit="1" customWidth="1"/>
    <col min="10573" max="10573" width="25.81640625" style="107" bestFit="1" customWidth="1"/>
    <col min="10574" max="10575" width="25.7265625" style="107" bestFit="1" customWidth="1"/>
    <col min="10576" max="10577" width="23.7265625" style="107" bestFit="1" customWidth="1"/>
    <col min="10578" max="10578" width="23.54296875" style="107" bestFit="1" customWidth="1"/>
    <col min="10579" max="10579" width="25.54296875" style="107" bestFit="1" customWidth="1"/>
    <col min="10580" max="10580" width="23.54296875" style="107" bestFit="1" customWidth="1"/>
    <col min="10581" max="10581" width="23.453125" style="107" bestFit="1" customWidth="1"/>
    <col min="10582" max="10583" width="24.453125" style="107" bestFit="1" customWidth="1"/>
    <col min="10584" max="10584" width="22.7265625" style="107" bestFit="1" customWidth="1"/>
    <col min="10585" max="10585" width="24" style="107" bestFit="1" customWidth="1"/>
    <col min="10586" max="10586" width="22.1796875" style="107" bestFit="1" customWidth="1"/>
    <col min="10587" max="10587" width="18.7265625" style="107" bestFit="1" customWidth="1"/>
    <col min="10588" max="10588" width="14.54296875" style="107" bestFit="1" customWidth="1"/>
    <col min="10589" max="10589" width="22.54296875" style="107" bestFit="1" customWidth="1"/>
    <col min="10590" max="10590" width="23.453125" style="107" bestFit="1" customWidth="1"/>
    <col min="10591" max="10752" width="26" style="107"/>
    <col min="10753" max="10753" width="34.7265625" style="107" customWidth="1"/>
    <col min="10754" max="10754" width="17" style="107" bestFit="1" customWidth="1"/>
    <col min="10755" max="10755" width="20.7265625" style="107" bestFit="1" customWidth="1"/>
    <col min="10756" max="10756" width="12.26953125" style="107" bestFit="1" customWidth="1"/>
    <col min="10757" max="10757" width="25.7265625" style="107" bestFit="1" customWidth="1"/>
    <col min="10758" max="10758" width="24.7265625" style="107" bestFit="1" customWidth="1"/>
    <col min="10759" max="10759" width="25.7265625" style="107" bestFit="1" customWidth="1"/>
    <col min="10760" max="10760" width="23.81640625" style="107" bestFit="1" customWidth="1"/>
    <col min="10761" max="10761" width="25.7265625" style="107" bestFit="1" customWidth="1"/>
    <col min="10762" max="10762" width="26" style="107" customWidth="1"/>
    <col min="10763" max="10763" width="25.7265625" style="107" bestFit="1" customWidth="1"/>
    <col min="10764" max="10764" width="26" style="107" customWidth="1"/>
    <col min="10765" max="10765" width="25.7265625" style="107" bestFit="1" customWidth="1"/>
    <col min="10766" max="10766" width="25.54296875" style="107" bestFit="1" customWidth="1"/>
    <col min="10767" max="10767" width="25.7265625" style="107" bestFit="1" customWidth="1"/>
    <col min="10768" max="10768" width="25.54296875" style="107" bestFit="1" customWidth="1"/>
    <col min="10769" max="10769" width="25.7265625" style="107" bestFit="1" customWidth="1"/>
    <col min="10770" max="10770" width="24.81640625" style="107" bestFit="1" customWidth="1"/>
    <col min="10771" max="10771" width="23.7265625" style="107" bestFit="1" customWidth="1"/>
    <col min="10772" max="10772" width="24.81640625" style="107" bestFit="1" customWidth="1"/>
    <col min="10773" max="10773" width="23.7265625" style="107" bestFit="1" customWidth="1"/>
    <col min="10774" max="10774" width="24.81640625" style="107" bestFit="1" customWidth="1"/>
    <col min="10775" max="10780" width="25.7265625" style="107" bestFit="1" customWidth="1"/>
    <col min="10781" max="10787" width="22.81640625" style="107" bestFit="1" customWidth="1"/>
    <col min="10788" max="10788" width="23.1796875" style="107" bestFit="1" customWidth="1"/>
    <col min="10789" max="10789" width="22.81640625" style="107" bestFit="1" customWidth="1"/>
    <col min="10790" max="10790" width="23.1796875" style="107" bestFit="1" customWidth="1"/>
    <col min="10791" max="10791" width="22.81640625" style="107" bestFit="1" customWidth="1"/>
    <col min="10792" max="10792" width="23.1796875" style="107" bestFit="1" customWidth="1"/>
    <col min="10793" max="10793" width="23.54296875" style="107" bestFit="1" customWidth="1"/>
    <col min="10794" max="10794" width="24.81640625" style="107" bestFit="1" customWidth="1"/>
    <col min="10795" max="10795" width="23.54296875" style="107" bestFit="1" customWidth="1"/>
    <col min="10796" max="10796" width="24.81640625" style="107" bestFit="1" customWidth="1"/>
    <col min="10797" max="10797" width="23.54296875" style="107" bestFit="1" customWidth="1"/>
    <col min="10798" max="10798" width="24.81640625" style="107" bestFit="1" customWidth="1"/>
    <col min="10799" max="10800" width="22.81640625" style="107" bestFit="1" customWidth="1"/>
    <col min="10801" max="10801" width="25" style="107" bestFit="1" customWidth="1"/>
    <col min="10802" max="10802" width="22.81640625" style="107" bestFit="1" customWidth="1"/>
    <col min="10803" max="10803" width="25" style="107" bestFit="1" customWidth="1"/>
    <col min="10804" max="10804" width="22.81640625" style="107" bestFit="1" customWidth="1"/>
    <col min="10805" max="10805" width="25" style="107" bestFit="1" customWidth="1"/>
    <col min="10806" max="10806" width="22.26953125" style="107" bestFit="1" customWidth="1"/>
    <col min="10807" max="10807" width="20.81640625" style="107" bestFit="1" customWidth="1"/>
    <col min="10808" max="10808" width="22.26953125" style="107" bestFit="1" customWidth="1"/>
    <col min="10809" max="10809" width="20.81640625" style="107" bestFit="1" customWidth="1"/>
    <col min="10810" max="10810" width="22.26953125" style="107" bestFit="1" customWidth="1"/>
    <col min="10811" max="10811" width="20.81640625" style="107" bestFit="1" customWidth="1"/>
    <col min="10812" max="10812" width="22.26953125" style="107" bestFit="1" customWidth="1"/>
    <col min="10813" max="10813" width="22" style="107" bestFit="1" customWidth="1"/>
    <col min="10814" max="10814" width="22.26953125" style="107" bestFit="1" customWidth="1"/>
    <col min="10815" max="10815" width="22.7265625" style="107" bestFit="1" customWidth="1"/>
    <col min="10816" max="10816" width="23.81640625" style="107" bestFit="1" customWidth="1"/>
    <col min="10817" max="10817" width="25" style="107" bestFit="1" customWidth="1"/>
    <col min="10818" max="10818" width="23.453125" style="107" bestFit="1" customWidth="1"/>
    <col min="10819" max="10819" width="25" style="107" bestFit="1" customWidth="1"/>
    <col min="10820" max="10820" width="22.26953125" style="107" bestFit="1" customWidth="1"/>
    <col min="10821" max="10821" width="26" style="107" customWidth="1"/>
    <col min="10822" max="10822" width="22.26953125" style="107" bestFit="1" customWidth="1"/>
    <col min="10823" max="10823" width="19.54296875" style="107" bestFit="1" customWidth="1"/>
    <col min="10824" max="10824" width="22.26953125" style="107" bestFit="1" customWidth="1"/>
    <col min="10825" max="10825" width="26" style="107" customWidth="1"/>
    <col min="10826" max="10826" width="23.54296875" style="107" bestFit="1" customWidth="1"/>
    <col min="10827" max="10828" width="23.7265625" style="107" bestFit="1" customWidth="1"/>
    <col min="10829" max="10829" width="25.81640625" style="107" bestFit="1" customWidth="1"/>
    <col min="10830" max="10831" width="25.7265625" style="107" bestFit="1" customWidth="1"/>
    <col min="10832" max="10833" width="23.7265625" style="107" bestFit="1" customWidth="1"/>
    <col min="10834" max="10834" width="23.54296875" style="107" bestFit="1" customWidth="1"/>
    <col min="10835" max="10835" width="25.54296875" style="107" bestFit="1" customWidth="1"/>
    <col min="10836" max="10836" width="23.54296875" style="107" bestFit="1" customWidth="1"/>
    <col min="10837" max="10837" width="23.453125" style="107" bestFit="1" customWidth="1"/>
    <col min="10838" max="10839" width="24.453125" style="107" bestFit="1" customWidth="1"/>
    <col min="10840" max="10840" width="22.7265625" style="107" bestFit="1" customWidth="1"/>
    <col min="10841" max="10841" width="24" style="107" bestFit="1" customWidth="1"/>
    <col min="10842" max="10842" width="22.1796875" style="107" bestFit="1" customWidth="1"/>
    <col min="10843" max="10843" width="18.7265625" style="107" bestFit="1" customWidth="1"/>
    <col min="10844" max="10844" width="14.54296875" style="107" bestFit="1" customWidth="1"/>
    <col min="10845" max="10845" width="22.54296875" style="107" bestFit="1" customWidth="1"/>
    <col min="10846" max="10846" width="23.453125" style="107" bestFit="1" customWidth="1"/>
    <col min="10847" max="11008" width="26" style="107"/>
    <col min="11009" max="11009" width="34.7265625" style="107" customWidth="1"/>
    <col min="11010" max="11010" width="17" style="107" bestFit="1" customWidth="1"/>
    <col min="11011" max="11011" width="20.7265625" style="107" bestFit="1" customWidth="1"/>
    <col min="11012" max="11012" width="12.26953125" style="107" bestFit="1" customWidth="1"/>
    <col min="11013" max="11013" width="25.7265625" style="107" bestFit="1" customWidth="1"/>
    <col min="11014" max="11014" width="24.7265625" style="107" bestFit="1" customWidth="1"/>
    <col min="11015" max="11015" width="25.7265625" style="107" bestFit="1" customWidth="1"/>
    <col min="11016" max="11016" width="23.81640625" style="107" bestFit="1" customWidth="1"/>
    <col min="11017" max="11017" width="25.7265625" style="107" bestFit="1" customWidth="1"/>
    <col min="11018" max="11018" width="26" style="107" customWidth="1"/>
    <col min="11019" max="11019" width="25.7265625" style="107" bestFit="1" customWidth="1"/>
    <col min="11020" max="11020" width="26" style="107" customWidth="1"/>
    <col min="11021" max="11021" width="25.7265625" style="107" bestFit="1" customWidth="1"/>
    <col min="11022" max="11022" width="25.54296875" style="107" bestFit="1" customWidth="1"/>
    <col min="11023" max="11023" width="25.7265625" style="107" bestFit="1" customWidth="1"/>
    <col min="11024" max="11024" width="25.54296875" style="107" bestFit="1" customWidth="1"/>
    <col min="11025" max="11025" width="25.7265625" style="107" bestFit="1" customWidth="1"/>
    <col min="11026" max="11026" width="24.81640625" style="107" bestFit="1" customWidth="1"/>
    <col min="11027" max="11027" width="23.7265625" style="107" bestFit="1" customWidth="1"/>
    <col min="11028" max="11028" width="24.81640625" style="107" bestFit="1" customWidth="1"/>
    <col min="11029" max="11029" width="23.7265625" style="107" bestFit="1" customWidth="1"/>
    <col min="11030" max="11030" width="24.81640625" style="107" bestFit="1" customWidth="1"/>
    <col min="11031" max="11036" width="25.7265625" style="107" bestFit="1" customWidth="1"/>
    <col min="11037" max="11043" width="22.81640625" style="107" bestFit="1" customWidth="1"/>
    <col min="11044" max="11044" width="23.1796875" style="107" bestFit="1" customWidth="1"/>
    <col min="11045" max="11045" width="22.81640625" style="107" bestFit="1" customWidth="1"/>
    <col min="11046" max="11046" width="23.1796875" style="107" bestFit="1" customWidth="1"/>
    <col min="11047" max="11047" width="22.81640625" style="107" bestFit="1" customWidth="1"/>
    <col min="11048" max="11048" width="23.1796875" style="107" bestFit="1" customWidth="1"/>
    <col min="11049" max="11049" width="23.54296875" style="107" bestFit="1" customWidth="1"/>
    <col min="11050" max="11050" width="24.81640625" style="107" bestFit="1" customWidth="1"/>
    <col min="11051" max="11051" width="23.54296875" style="107" bestFit="1" customWidth="1"/>
    <col min="11052" max="11052" width="24.81640625" style="107" bestFit="1" customWidth="1"/>
    <col min="11053" max="11053" width="23.54296875" style="107" bestFit="1" customWidth="1"/>
    <col min="11054" max="11054" width="24.81640625" style="107" bestFit="1" customWidth="1"/>
    <col min="11055" max="11056" width="22.81640625" style="107" bestFit="1" customWidth="1"/>
    <col min="11057" max="11057" width="25" style="107" bestFit="1" customWidth="1"/>
    <col min="11058" max="11058" width="22.81640625" style="107" bestFit="1" customWidth="1"/>
    <col min="11059" max="11059" width="25" style="107" bestFit="1" customWidth="1"/>
    <col min="11060" max="11060" width="22.81640625" style="107" bestFit="1" customWidth="1"/>
    <col min="11061" max="11061" width="25" style="107" bestFit="1" customWidth="1"/>
    <col min="11062" max="11062" width="22.26953125" style="107" bestFit="1" customWidth="1"/>
    <col min="11063" max="11063" width="20.81640625" style="107" bestFit="1" customWidth="1"/>
    <col min="11064" max="11064" width="22.26953125" style="107" bestFit="1" customWidth="1"/>
    <col min="11065" max="11065" width="20.81640625" style="107" bestFit="1" customWidth="1"/>
    <col min="11066" max="11066" width="22.26953125" style="107" bestFit="1" customWidth="1"/>
    <col min="11067" max="11067" width="20.81640625" style="107" bestFit="1" customWidth="1"/>
    <col min="11068" max="11068" width="22.26953125" style="107" bestFit="1" customWidth="1"/>
    <col min="11069" max="11069" width="22" style="107" bestFit="1" customWidth="1"/>
    <col min="11070" max="11070" width="22.26953125" style="107" bestFit="1" customWidth="1"/>
    <col min="11071" max="11071" width="22.7265625" style="107" bestFit="1" customWidth="1"/>
    <col min="11072" max="11072" width="23.81640625" style="107" bestFit="1" customWidth="1"/>
    <col min="11073" max="11073" width="25" style="107" bestFit="1" customWidth="1"/>
    <col min="11074" max="11074" width="23.453125" style="107" bestFit="1" customWidth="1"/>
    <col min="11075" max="11075" width="25" style="107" bestFit="1" customWidth="1"/>
    <col min="11076" max="11076" width="22.26953125" style="107" bestFit="1" customWidth="1"/>
    <col min="11077" max="11077" width="26" style="107" customWidth="1"/>
    <col min="11078" max="11078" width="22.26953125" style="107" bestFit="1" customWidth="1"/>
    <col min="11079" max="11079" width="19.54296875" style="107" bestFit="1" customWidth="1"/>
    <col min="11080" max="11080" width="22.26953125" style="107" bestFit="1" customWidth="1"/>
    <col min="11081" max="11081" width="26" style="107" customWidth="1"/>
    <col min="11082" max="11082" width="23.54296875" style="107" bestFit="1" customWidth="1"/>
    <col min="11083" max="11084" width="23.7265625" style="107" bestFit="1" customWidth="1"/>
    <col min="11085" max="11085" width="25.81640625" style="107" bestFit="1" customWidth="1"/>
    <col min="11086" max="11087" width="25.7265625" style="107" bestFit="1" customWidth="1"/>
    <col min="11088" max="11089" width="23.7265625" style="107" bestFit="1" customWidth="1"/>
    <col min="11090" max="11090" width="23.54296875" style="107" bestFit="1" customWidth="1"/>
    <col min="11091" max="11091" width="25.54296875" style="107" bestFit="1" customWidth="1"/>
    <col min="11092" max="11092" width="23.54296875" style="107" bestFit="1" customWidth="1"/>
    <col min="11093" max="11093" width="23.453125" style="107" bestFit="1" customWidth="1"/>
    <col min="11094" max="11095" width="24.453125" style="107" bestFit="1" customWidth="1"/>
    <col min="11096" max="11096" width="22.7265625" style="107" bestFit="1" customWidth="1"/>
    <col min="11097" max="11097" width="24" style="107" bestFit="1" customWidth="1"/>
    <col min="11098" max="11098" width="22.1796875" style="107" bestFit="1" customWidth="1"/>
    <col min="11099" max="11099" width="18.7265625" style="107" bestFit="1" customWidth="1"/>
    <col min="11100" max="11100" width="14.54296875" style="107" bestFit="1" customWidth="1"/>
    <col min="11101" max="11101" width="22.54296875" style="107" bestFit="1" customWidth="1"/>
    <col min="11102" max="11102" width="23.453125" style="107" bestFit="1" customWidth="1"/>
    <col min="11103" max="11264" width="26" style="107"/>
    <col min="11265" max="11265" width="34.7265625" style="107" customWidth="1"/>
    <col min="11266" max="11266" width="17" style="107" bestFit="1" customWidth="1"/>
    <col min="11267" max="11267" width="20.7265625" style="107" bestFit="1" customWidth="1"/>
    <col min="11268" max="11268" width="12.26953125" style="107" bestFit="1" customWidth="1"/>
    <col min="11269" max="11269" width="25.7265625" style="107" bestFit="1" customWidth="1"/>
    <col min="11270" max="11270" width="24.7265625" style="107" bestFit="1" customWidth="1"/>
    <col min="11271" max="11271" width="25.7265625" style="107" bestFit="1" customWidth="1"/>
    <col min="11272" max="11272" width="23.81640625" style="107" bestFit="1" customWidth="1"/>
    <col min="11273" max="11273" width="25.7265625" style="107" bestFit="1" customWidth="1"/>
    <col min="11274" max="11274" width="26" style="107" customWidth="1"/>
    <col min="11275" max="11275" width="25.7265625" style="107" bestFit="1" customWidth="1"/>
    <col min="11276" max="11276" width="26" style="107" customWidth="1"/>
    <col min="11277" max="11277" width="25.7265625" style="107" bestFit="1" customWidth="1"/>
    <col min="11278" max="11278" width="25.54296875" style="107" bestFit="1" customWidth="1"/>
    <col min="11279" max="11279" width="25.7265625" style="107" bestFit="1" customWidth="1"/>
    <col min="11280" max="11280" width="25.54296875" style="107" bestFit="1" customWidth="1"/>
    <col min="11281" max="11281" width="25.7265625" style="107" bestFit="1" customWidth="1"/>
    <col min="11282" max="11282" width="24.81640625" style="107" bestFit="1" customWidth="1"/>
    <col min="11283" max="11283" width="23.7265625" style="107" bestFit="1" customWidth="1"/>
    <col min="11284" max="11284" width="24.81640625" style="107" bestFit="1" customWidth="1"/>
    <col min="11285" max="11285" width="23.7265625" style="107" bestFit="1" customWidth="1"/>
    <col min="11286" max="11286" width="24.81640625" style="107" bestFit="1" customWidth="1"/>
    <col min="11287" max="11292" width="25.7265625" style="107" bestFit="1" customWidth="1"/>
    <col min="11293" max="11299" width="22.81640625" style="107" bestFit="1" customWidth="1"/>
    <col min="11300" max="11300" width="23.1796875" style="107" bestFit="1" customWidth="1"/>
    <col min="11301" max="11301" width="22.81640625" style="107" bestFit="1" customWidth="1"/>
    <col min="11302" max="11302" width="23.1796875" style="107" bestFit="1" customWidth="1"/>
    <col min="11303" max="11303" width="22.81640625" style="107" bestFit="1" customWidth="1"/>
    <col min="11304" max="11304" width="23.1796875" style="107" bestFit="1" customWidth="1"/>
    <col min="11305" max="11305" width="23.54296875" style="107" bestFit="1" customWidth="1"/>
    <col min="11306" max="11306" width="24.81640625" style="107" bestFit="1" customWidth="1"/>
    <col min="11307" max="11307" width="23.54296875" style="107" bestFit="1" customWidth="1"/>
    <col min="11308" max="11308" width="24.81640625" style="107" bestFit="1" customWidth="1"/>
    <col min="11309" max="11309" width="23.54296875" style="107" bestFit="1" customWidth="1"/>
    <col min="11310" max="11310" width="24.81640625" style="107" bestFit="1" customWidth="1"/>
    <col min="11311" max="11312" width="22.81640625" style="107" bestFit="1" customWidth="1"/>
    <col min="11313" max="11313" width="25" style="107" bestFit="1" customWidth="1"/>
    <col min="11314" max="11314" width="22.81640625" style="107" bestFit="1" customWidth="1"/>
    <col min="11315" max="11315" width="25" style="107" bestFit="1" customWidth="1"/>
    <col min="11316" max="11316" width="22.81640625" style="107" bestFit="1" customWidth="1"/>
    <col min="11317" max="11317" width="25" style="107" bestFit="1" customWidth="1"/>
    <col min="11318" max="11318" width="22.26953125" style="107" bestFit="1" customWidth="1"/>
    <col min="11319" max="11319" width="20.81640625" style="107" bestFit="1" customWidth="1"/>
    <col min="11320" max="11320" width="22.26953125" style="107" bestFit="1" customWidth="1"/>
    <col min="11321" max="11321" width="20.81640625" style="107" bestFit="1" customWidth="1"/>
    <col min="11322" max="11322" width="22.26953125" style="107" bestFit="1" customWidth="1"/>
    <col min="11323" max="11323" width="20.81640625" style="107" bestFit="1" customWidth="1"/>
    <col min="11324" max="11324" width="22.26953125" style="107" bestFit="1" customWidth="1"/>
    <col min="11325" max="11325" width="22" style="107" bestFit="1" customWidth="1"/>
    <col min="11326" max="11326" width="22.26953125" style="107" bestFit="1" customWidth="1"/>
    <col min="11327" max="11327" width="22.7265625" style="107" bestFit="1" customWidth="1"/>
    <col min="11328" max="11328" width="23.81640625" style="107" bestFit="1" customWidth="1"/>
    <col min="11329" max="11329" width="25" style="107" bestFit="1" customWidth="1"/>
    <col min="11330" max="11330" width="23.453125" style="107" bestFit="1" customWidth="1"/>
    <col min="11331" max="11331" width="25" style="107" bestFit="1" customWidth="1"/>
    <col min="11332" max="11332" width="22.26953125" style="107" bestFit="1" customWidth="1"/>
    <col min="11333" max="11333" width="26" style="107" customWidth="1"/>
    <col min="11334" max="11334" width="22.26953125" style="107" bestFit="1" customWidth="1"/>
    <col min="11335" max="11335" width="19.54296875" style="107" bestFit="1" customWidth="1"/>
    <col min="11336" max="11336" width="22.26953125" style="107" bestFit="1" customWidth="1"/>
    <col min="11337" max="11337" width="26" style="107" customWidth="1"/>
    <col min="11338" max="11338" width="23.54296875" style="107" bestFit="1" customWidth="1"/>
    <col min="11339" max="11340" width="23.7265625" style="107" bestFit="1" customWidth="1"/>
    <col min="11341" max="11341" width="25.81640625" style="107" bestFit="1" customWidth="1"/>
    <col min="11342" max="11343" width="25.7265625" style="107" bestFit="1" customWidth="1"/>
    <col min="11344" max="11345" width="23.7265625" style="107" bestFit="1" customWidth="1"/>
    <col min="11346" max="11346" width="23.54296875" style="107" bestFit="1" customWidth="1"/>
    <col min="11347" max="11347" width="25.54296875" style="107" bestFit="1" customWidth="1"/>
    <col min="11348" max="11348" width="23.54296875" style="107" bestFit="1" customWidth="1"/>
    <col min="11349" max="11349" width="23.453125" style="107" bestFit="1" customWidth="1"/>
    <col min="11350" max="11351" width="24.453125" style="107" bestFit="1" customWidth="1"/>
    <col min="11352" max="11352" width="22.7265625" style="107" bestFit="1" customWidth="1"/>
    <col min="11353" max="11353" width="24" style="107" bestFit="1" customWidth="1"/>
    <col min="11354" max="11354" width="22.1796875" style="107" bestFit="1" customWidth="1"/>
    <col min="11355" max="11355" width="18.7265625" style="107" bestFit="1" customWidth="1"/>
    <col min="11356" max="11356" width="14.54296875" style="107" bestFit="1" customWidth="1"/>
    <col min="11357" max="11357" width="22.54296875" style="107" bestFit="1" customWidth="1"/>
    <col min="11358" max="11358" width="23.453125" style="107" bestFit="1" customWidth="1"/>
    <col min="11359" max="11520" width="26" style="107"/>
    <col min="11521" max="11521" width="34.7265625" style="107" customWidth="1"/>
    <col min="11522" max="11522" width="17" style="107" bestFit="1" customWidth="1"/>
    <col min="11523" max="11523" width="20.7265625" style="107" bestFit="1" customWidth="1"/>
    <col min="11524" max="11524" width="12.26953125" style="107" bestFit="1" customWidth="1"/>
    <col min="11525" max="11525" width="25.7265625" style="107" bestFit="1" customWidth="1"/>
    <col min="11526" max="11526" width="24.7265625" style="107" bestFit="1" customWidth="1"/>
    <col min="11527" max="11527" width="25.7265625" style="107" bestFit="1" customWidth="1"/>
    <col min="11528" max="11528" width="23.81640625" style="107" bestFit="1" customWidth="1"/>
    <col min="11529" max="11529" width="25.7265625" style="107" bestFit="1" customWidth="1"/>
    <col min="11530" max="11530" width="26" style="107" customWidth="1"/>
    <col min="11531" max="11531" width="25.7265625" style="107" bestFit="1" customWidth="1"/>
    <col min="11532" max="11532" width="26" style="107" customWidth="1"/>
    <col min="11533" max="11533" width="25.7265625" style="107" bestFit="1" customWidth="1"/>
    <col min="11534" max="11534" width="25.54296875" style="107" bestFit="1" customWidth="1"/>
    <col min="11535" max="11535" width="25.7265625" style="107" bestFit="1" customWidth="1"/>
    <col min="11536" max="11536" width="25.54296875" style="107" bestFit="1" customWidth="1"/>
    <col min="11537" max="11537" width="25.7265625" style="107" bestFit="1" customWidth="1"/>
    <col min="11538" max="11538" width="24.81640625" style="107" bestFit="1" customWidth="1"/>
    <col min="11539" max="11539" width="23.7265625" style="107" bestFit="1" customWidth="1"/>
    <col min="11540" max="11540" width="24.81640625" style="107" bestFit="1" customWidth="1"/>
    <col min="11541" max="11541" width="23.7265625" style="107" bestFit="1" customWidth="1"/>
    <col min="11542" max="11542" width="24.81640625" style="107" bestFit="1" customWidth="1"/>
    <col min="11543" max="11548" width="25.7265625" style="107" bestFit="1" customWidth="1"/>
    <col min="11549" max="11555" width="22.81640625" style="107" bestFit="1" customWidth="1"/>
    <col min="11556" max="11556" width="23.1796875" style="107" bestFit="1" customWidth="1"/>
    <col min="11557" max="11557" width="22.81640625" style="107" bestFit="1" customWidth="1"/>
    <col min="11558" max="11558" width="23.1796875" style="107" bestFit="1" customWidth="1"/>
    <col min="11559" max="11559" width="22.81640625" style="107" bestFit="1" customWidth="1"/>
    <col min="11560" max="11560" width="23.1796875" style="107" bestFit="1" customWidth="1"/>
    <col min="11561" max="11561" width="23.54296875" style="107" bestFit="1" customWidth="1"/>
    <col min="11562" max="11562" width="24.81640625" style="107" bestFit="1" customWidth="1"/>
    <col min="11563" max="11563" width="23.54296875" style="107" bestFit="1" customWidth="1"/>
    <col min="11564" max="11564" width="24.81640625" style="107" bestFit="1" customWidth="1"/>
    <col min="11565" max="11565" width="23.54296875" style="107" bestFit="1" customWidth="1"/>
    <col min="11566" max="11566" width="24.81640625" style="107" bestFit="1" customWidth="1"/>
    <col min="11567" max="11568" width="22.81640625" style="107" bestFit="1" customWidth="1"/>
    <col min="11569" max="11569" width="25" style="107" bestFit="1" customWidth="1"/>
    <col min="11570" max="11570" width="22.81640625" style="107" bestFit="1" customWidth="1"/>
    <col min="11571" max="11571" width="25" style="107" bestFit="1" customWidth="1"/>
    <col min="11572" max="11572" width="22.81640625" style="107" bestFit="1" customWidth="1"/>
    <col min="11573" max="11573" width="25" style="107" bestFit="1" customWidth="1"/>
    <col min="11574" max="11574" width="22.26953125" style="107" bestFit="1" customWidth="1"/>
    <col min="11575" max="11575" width="20.81640625" style="107" bestFit="1" customWidth="1"/>
    <col min="11576" max="11576" width="22.26953125" style="107" bestFit="1" customWidth="1"/>
    <col min="11577" max="11577" width="20.81640625" style="107" bestFit="1" customWidth="1"/>
    <col min="11578" max="11578" width="22.26953125" style="107" bestFit="1" customWidth="1"/>
    <col min="11579" max="11579" width="20.81640625" style="107" bestFit="1" customWidth="1"/>
    <col min="11580" max="11580" width="22.26953125" style="107" bestFit="1" customWidth="1"/>
    <col min="11581" max="11581" width="22" style="107" bestFit="1" customWidth="1"/>
    <col min="11582" max="11582" width="22.26953125" style="107" bestFit="1" customWidth="1"/>
    <col min="11583" max="11583" width="22.7265625" style="107" bestFit="1" customWidth="1"/>
    <col min="11584" max="11584" width="23.81640625" style="107" bestFit="1" customWidth="1"/>
    <col min="11585" max="11585" width="25" style="107" bestFit="1" customWidth="1"/>
    <col min="11586" max="11586" width="23.453125" style="107" bestFit="1" customWidth="1"/>
    <col min="11587" max="11587" width="25" style="107" bestFit="1" customWidth="1"/>
    <col min="11588" max="11588" width="22.26953125" style="107" bestFit="1" customWidth="1"/>
    <col min="11589" max="11589" width="26" style="107" customWidth="1"/>
    <col min="11590" max="11590" width="22.26953125" style="107" bestFit="1" customWidth="1"/>
    <col min="11591" max="11591" width="19.54296875" style="107" bestFit="1" customWidth="1"/>
    <col min="11592" max="11592" width="22.26953125" style="107" bestFit="1" customWidth="1"/>
    <col min="11593" max="11593" width="26" style="107" customWidth="1"/>
    <col min="11594" max="11594" width="23.54296875" style="107" bestFit="1" customWidth="1"/>
    <col min="11595" max="11596" width="23.7265625" style="107" bestFit="1" customWidth="1"/>
    <col min="11597" max="11597" width="25.81640625" style="107" bestFit="1" customWidth="1"/>
    <col min="11598" max="11599" width="25.7265625" style="107" bestFit="1" customWidth="1"/>
    <col min="11600" max="11601" width="23.7265625" style="107" bestFit="1" customWidth="1"/>
    <col min="11602" max="11602" width="23.54296875" style="107" bestFit="1" customWidth="1"/>
    <col min="11603" max="11603" width="25.54296875" style="107" bestFit="1" customWidth="1"/>
    <col min="11604" max="11604" width="23.54296875" style="107" bestFit="1" customWidth="1"/>
    <col min="11605" max="11605" width="23.453125" style="107" bestFit="1" customWidth="1"/>
    <col min="11606" max="11607" width="24.453125" style="107" bestFit="1" customWidth="1"/>
    <col min="11608" max="11608" width="22.7265625" style="107" bestFit="1" customWidth="1"/>
    <col min="11609" max="11609" width="24" style="107" bestFit="1" customWidth="1"/>
    <col min="11610" max="11610" width="22.1796875" style="107" bestFit="1" customWidth="1"/>
    <col min="11611" max="11611" width="18.7265625" style="107" bestFit="1" customWidth="1"/>
    <col min="11612" max="11612" width="14.54296875" style="107" bestFit="1" customWidth="1"/>
    <col min="11613" max="11613" width="22.54296875" style="107" bestFit="1" customWidth="1"/>
    <col min="11614" max="11614" width="23.453125" style="107" bestFit="1" customWidth="1"/>
    <col min="11615" max="11776" width="26" style="107"/>
    <col min="11777" max="11777" width="34.7265625" style="107" customWidth="1"/>
    <col min="11778" max="11778" width="17" style="107" bestFit="1" customWidth="1"/>
    <col min="11779" max="11779" width="20.7265625" style="107" bestFit="1" customWidth="1"/>
    <col min="11780" max="11780" width="12.26953125" style="107" bestFit="1" customWidth="1"/>
    <col min="11781" max="11781" width="25.7265625" style="107" bestFit="1" customWidth="1"/>
    <col min="11782" max="11782" width="24.7265625" style="107" bestFit="1" customWidth="1"/>
    <col min="11783" max="11783" width="25.7265625" style="107" bestFit="1" customWidth="1"/>
    <col min="11784" max="11784" width="23.81640625" style="107" bestFit="1" customWidth="1"/>
    <col min="11785" max="11785" width="25.7265625" style="107" bestFit="1" customWidth="1"/>
    <col min="11786" max="11786" width="26" style="107" customWidth="1"/>
    <col min="11787" max="11787" width="25.7265625" style="107" bestFit="1" customWidth="1"/>
    <col min="11788" max="11788" width="26" style="107" customWidth="1"/>
    <col min="11789" max="11789" width="25.7265625" style="107" bestFit="1" customWidth="1"/>
    <col min="11790" max="11790" width="25.54296875" style="107" bestFit="1" customWidth="1"/>
    <col min="11791" max="11791" width="25.7265625" style="107" bestFit="1" customWidth="1"/>
    <col min="11792" max="11792" width="25.54296875" style="107" bestFit="1" customWidth="1"/>
    <col min="11793" max="11793" width="25.7265625" style="107" bestFit="1" customWidth="1"/>
    <col min="11794" max="11794" width="24.81640625" style="107" bestFit="1" customWidth="1"/>
    <col min="11795" max="11795" width="23.7265625" style="107" bestFit="1" customWidth="1"/>
    <col min="11796" max="11796" width="24.81640625" style="107" bestFit="1" customWidth="1"/>
    <col min="11797" max="11797" width="23.7265625" style="107" bestFit="1" customWidth="1"/>
    <col min="11798" max="11798" width="24.81640625" style="107" bestFit="1" customWidth="1"/>
    <col min="11799" max="11804" width="25.7265625" style="107" bestFit="1" customWidth="1"/>
    <col min="11805" max="11811" width="22.81640625" style="107" bestFit="1" customWidth="1"/>
    <col min="11812" max="11812" width="23.1796875" style="107" bestFit="1" customWidth="1"/>
    <col min="11813" max="11813" width="22.81640625" style="107" bestFit="1" customWidth="1"/>
    <col min="11814" max="11814" width="23.1796875" style="107" bestFit="1" customWidth="1"/>
    <col min="11815" max="11815" width="22.81640625" style="107" bestFit="1" customWidth="1"/>
    <col min="11816" max="11816" width="23.1796875" style="107" bestFit="1" customWidth="1"/>
    <col min="11817" max="11817" width="23.54296875" style="107" bestFit="1" customWidth="1"/>
    <col min="11818" max="11818" width="24.81640625" style="107" bestFit="1" customWidth="1"/>
    <col min="11819" max="11819" width="23.54296875" style="107" bestFit="1" customWidth="1"/>
    <col min="11820" max="11820" width="24.81640625" style="107" bestFit="1" customWidth="1"/>
    <col min="11821" max="11821" width="23.54296875" style="107" bestFit="1" customWidth="1"/>
    <col min="11822" max="11822" width="24.81640625" style="107" bestFit="1" customWidth="1"/>
    <col min="11823" max="11824" width="22.81640625" style="107" bestFit="1" customWidth="1"/>
    <col min="11825" max="11825" width="25" style="107" bestFit="1" customWidth="1"/>
    <col min="11826" max="11826" width="22.81640625" style="107" bestFit="1" customWidth="1"/>
    <col min="11827" max="11827" width="25" style="107" bestFit="1" customWidth="1"/>
    <col min="11828" max="11828" width="22.81640625" style="107" bestFit="1" customWidth="1"/>
    <col min="11829" max="11829" width="25" style="107" bestFit="1" customWidth="1"/>
    <col min="11830" max="11830" width="22.26953125" style="107" bestFit="1" customWidth="1"/>
    <col min="11831" max="11831" width="20.81640625" style="107" bestFit="1" customWidth="1"/>
    <col min="11832" max="11832" width="22.26953125" style="107" bestFit="1" customWidth="1"/>
    <col min="11833" max="11833" width="20.81640625" style="107" bestFit="1" customWidth="1"/>
    <col min="11834" max="11834" width="22.26953125" style="107" bestFit="1" customWidth="1"/>
    <col min="11835" max="11835" width="20.81640625" style="107" bestFit="1" customWidth="1"/>
    <col min="11836" max="11836" width="22.26953125" style="107" bestFit="1" customWidth="1"/>
    <col min="11837" max="11837" width="22" style="107" bestFit="1" customWidth="1"/>
    <col min="11838" max="11838" width="22.26953125" style="107" bestFit="1" customWidth="1"/>
    <col min="11839" max="11839" width="22.7265625" style="107" bestFit="1" customWidth="1"/>
    <col min="11840" max="11840" width="23.81640625" style="107" bestFit="1" customWidth="1"/>
    <col min="11841" max="11841" width="25" style="107" bestFit="1" customWidth="1"/>
    <col min="11842" max="11842" width="23.453125" style="107" bestFit="1" customWidth="1"/>
    <col min="11843" max="11843" width="25" style="107" bestFit="1" customWidth="1"/>
    <col min="11844" max="11844" width="22.26953125" style="107" bestFit="1" customWidth="1"/>
    <col min="11845" max="11845" width="26" style="107" customWidth="1"/>
    <col min="11846" max="11846" width="22.26953125" style="107" bestFit="1" customWidth="1"/>
    <col min="11847" max="11847" width="19.54296875" style="107" bestFit="1" customWidth="1"/>
    <col min="11848" max="11848" width="22.26953125" style="107" bestFit="1" customWidth="1"/>
    <col min="11849" max="11849" width="26" style="107" customWidth="1"/>
    <col min="11850" max="11850" width="23.54296875" style="107" bestFit="1" customWidth="1"/>
    <col min="11851" max="11852" width="23.7265625" style="107" bestFit="1" customWidth="1"/>
    <col min="11853" max="11853" width="25.81640625" style="107" bestFit="1" customWidth="1"/>
    <col min="11854" max="11855" width="25.7265625" style="107" bestFit="1" customWidth="1"/>
    <col min="11856" max="11857" width="23.7265625" style="107" bestFit="1" customWidth="1"/>
    <col min="11858" max="11858" width="23.54296875" style="107" bestFit="1" customWidth="1"/>
    <col min="11859" max="11859" width="25.54296875" style="107" bestFit="1" customWidth="1"/>
    <col min="11860" max="11860" width="23.54296875" style="107" bestFit="1" customWidth="1"/>
    <col min="11861" max="11861" width="23.453125" style="107" bestFit="1" customWidth="1"/>
    <col min="11862" max="11863" width="24.453125" style="107" bestFit="1" customWidth="1"/>
    <col min="11864" max="11864" width="22.7265625" style="107" bestFit="1" customWidth="1"/>
    <col min="11865" max="11865" width="24" style="107" bestFit="1" customWidth="1"/>
    <col min="11866" max="11866" width="22.1796875" style="107" bestFit="1" customWidth="1"/>
    <col min="11867" max="11867" width="18.7265625" style="107" bestFit="1" customWidth="1"/>
    <col min="11868" max="11868" width="14.54296875" style="107" bestFit="1" customWidth="1"/>
    <col min="11869" max="11869" width="22.54296875" style="107" bestFit="1" customWidth="1"/>
    <col min="11870" max="11870" width="23.453125" style="107" bestFit="1" customWidth="1"/>
    <col min="11871" max="12032" width="26" style="107"/>
    <col min="12033" max="12033" width="34.7265625" style="107" customWidth="1"/>
    <col min="12034" max="12034" width="17" style="107" bestFit="1" customWidth="1"/>
    <col min="12035" max="12035" width="20.7265625" style="107" bestFit="1" customWidth="1"/>
    <col min="12036" max="12036" width="12.26953125" style="107" bestFit="1" customWidth="1"/>
    <col min="12037" max="12037" width="25.7265625" style="107" bestFit="1" customWidth="1"/>
    <col min="12038" max="12038" width="24.7265625" style="107" bestFit="1" customWidth="1"/>
    <col min="12039" max="12039" width="25.7265625" style="107" bestFit="1" customWidth="1"/>
    <col min="12040" max="12040" width="23.81640625" style="107" bestFit="1" customWidth="1"/>
    <col min="12041" max="12041" width="25.7265625" style="107" bestFit="1" customWidth="1"/>
    <col min="12042" max="12042" width="26" style="107" customWidth="1"/>
    <col min="12043" max="12043" width="25.7265625" style="107" bestFit="1" customWidth="1"/>
    <col min="12044" max="12044" width="26" style="107" customWidth="1"/>
    <col min="12045" max="12045" width="25.7265625" style="107" bestFit="1" customWidth="1"/>
    <col min="12046" max="12046" width="25.54296875" style="107" bestFit="1" customWidth="1"/>
    <col min="12047" max="12047" width="25.7265625" style="107" bestFit="1" customWidth="1"/>
    <col min="12048" max="12048" width="25.54296875" style="107" bestFit="1" customWidth="1"/>
    <col min="12049" max="12049" width="25.7265625" style="107" bestFit="1" customWidth="1"/>
    <col min="12050" max="12050" width="24.81640625" style="107" bestFit="1" customWidth="1"/>
    <col min="12051" max="12051" width="23.7265625" style="107" bestFit="1" customWidth="1"/>
    <col min="12052" max="12052" width="24.81640625" style="107" bestFit="1" customWidth="1"/>
    <col min="12053" max="12053" width="23.7265625" style="107" bestFit="1" customWidth="1"/>
    <col min="12054" max="12054" width="24.81640625" style="107" bestFit="1" customWidth="1"/>
    <col min="12055" max="12060" width="25.7265625" style="107" bestFit="1" customWidth="1"/>
    <col min="12061" max="12067" width="22.81640625" style="107" bestFit="1" customWidth="1"/>
    <col min="12068" max="12068" width="23.1796875" style="107" bestFit="1" customWidth="1"/>
    <col min="12069" max="12069" width="22.81640625" style="107" bestFit="1" customWidth="1"/>
    <col min="12070" max="12070" width="23.1796875" style="107" bestFit="1" customWidth="1"/>
    <col min="12071" max="12071" width="22.81640625" style="107" bestFit="1" customWidth="1"/>
    <col min="12072" max="12072" width="23.1796875" style="107" bestFit="1" customWidth="1"/>
    <col min="12073" max="12073" width="23.54296875" style="107" bestFit="1" customWidth="1"/>
    <col min="12074" max="12074" width="24.81640625" style="107" bestFit="1" customWidth="1"/>
    <col min="12075" max="12075" width="23.54296875" style="107" bestFit="1" customWidth="1"/>
    <col min="12076" max="12076" width="24.81640625" style="107" bestFit="1" customWidth="1"/>
    <col min="12077" max="12077" width="23.54296875" style="107" bestFit="1" customWidth="1"/>
    <col min="12078" max="12078" width="24.81640625" style="107" bestFit="1" customWidth="1"/>
    <col min="12079" max="12080" width="22.81640625" style="107" bestFit="1" customWidth="1"/>
    <col min="12081" max="12081" width="25" style="107" bestFit="1" customWidth="1"/>
    <col min="12082" max="12082" width="22.81640625" style="107" bestFit="1" customWidth="1"/>
    <col min="12083" max="12083" width="25" style="107" bestFit="1" customWidth="1"/>
    <col min="12084" max="12084" width="22.81640625" style="107" bestFit="1" customWidth="1"/>
    <col min="12085" max="12085" width="25" style="107" bestFit="1" customWidth="1"/>
    <col min="12086" max="12086" width="22.26953125" style="107" bestFit="1" customWidth="1"/>
    <col min="12087" max="12087" width="20.81640625" style="107" bestFit="1" customWidth="1"/>
    <col min="12088" max="12088" width="22.26953125" style="107" bestFit="1" customWidth="1"/>
    <col min="12089" max="12089" width="20.81640625" style="107" bestFit="1" customWidth="1"/>
    <col min="12090" max="12090" width="22.26953125" style="107" bestFit="1" customWidth="1"/>
    <col min="12091" max="12091" width="20.81640625" style="107" bestFit="1" customWidth="1"/>
    <col min="12092" max="12092" width="22.26953125" style="107" bestFit="1" customWidth="1"/>
    <col min="12093" max="12093" width="22" style="107" bestFit="1" customWidth="1"/>
    <col min="12094" max="12094" width="22.26953125" style="107" bestFit="1" customWidth="1"/>
    <col min="12095" max="12095" width="22.7265625" style="107" bestFit="1" customWidth="1"/>
    <col min="12096" max="12096" width="23.81640625" style="107" bestFit="1" customWidth="1"/>
    <col min="12097" max="12097" width="25" style="107" bestFit="1" customWidth="1"/>
    <col min="12098" max="12098" width="23.453125" style="107" bestFit="1" customWidth="1"/>
    <col min="12099" max="12099" width="25" style="107" bestFit="1" customWidth="1"/>
    <col min="12100" max="12100" width="22.26953125" style="107" bestFit="1" customWidth="1"/>
    <col min="12101" max="12101" width="26" style="107" customWidth="1"/>
    <col min="12102" max="12102" width="22.26953125" style="107" bestFit="1" customWidth="1"/>
    <col min="12103" max="12103" width="19.54296875" style="107" bestFit="1" customWidth="1"/>
    <col min="12104" max="12104" width="22.26953125" style="107" bestFit="1" customWidth="1"/>
    <col min="12105" max="12105" width="26" style="107" customWidth="1"/>
    <col min="12106" max="12106" width="23.54296875" style="107" bestFit="1" customWidth="1"/>
    <col min="12107" max="12108" width="23.7265625" style="107" bestFit="1" customWidth="1"/>
    <col min="12109" max="12109" width="25.81640625" style="107" bestFit="1" customWidth="1"/>
    <col min="12110" max="12111" width="25.7265625" style="107" bestFit="1" customWidth="1"/>
    <col min="12112" max="12113" width="23.7265625" style="107" bestFit="1" customWidth="1"/>
    <col min="12114" max="12114" width="23.54296875" style="107" bestFit="1" customWidth="1"/>
    <col min="12115" max="12115" width="25.54296875" style="107" bestFit="1" customWidth="1"/>
    <col min="12116" max="12116" width="23.54296875" style="107" bestFit="1" customWidth="1"/>
    <col min="12117" max="12117" width="23.453125" style="107" bestFit="1" customWidth="1"/>
    <col min="12118" max="12119" width="24.453125" style="107" bestFit="1" customWidth="1"/>
    <col min="12120" max="12120" width="22.7265625" style="107" bestFit="1" customWidth="1"/>
    <col min="12121" max="12121" width="24" style="107" bestFit="1" customWidth="1"/>
    <col min="12122" max="12122" width="22.1796875" style="107" bestFit="1" customWidth="1"/>
    <col min="12123" max="12123" width="18.7265625" style="107" bestFit="1" customWidth="1"/>
    <col min="12124" max="12124" width="14.54296875" style="107" bestFit="1" customWidth="1"/>
    <col min="12125" max="12125" width="22.54296875" style="107" bestFit="1" customWidth="1"/>
    <col min="12126" max="12126" width="23.453125" style="107" bestFit="1" customWidth="1"/>
    <col min="12127" max="12288" width="26" style="107"/>
    <col min="12289" max="12289" width="34.7265625" style="107" customWidth="1"/>
    <col min="12290" max="12290" width="17" style="107" bestFit="1" customWidth="1"/>
    <col min="12291" max="12291" width="20.7265625" style="107" bestFit="1" customWidth="1"/>
    <col min="12292" max="12292" width="12.26953125" style="107" bestFit="1" customWidth="1"/>
    <col min="12293" max="12293" width="25.7265625" style="107" bestFit="1" customWidth="1"/>
    <col min="12294" max="12294" width="24.7265625" style="107" bestFit="1" customWidth="1"/>
    <col min="12295" max="12295" width="25.7265625" style="107" bestFit="1" customWidth="1"/>
    <col min="12296" max="12296" width="23.81640625" style="107" bestFit="1" customWidth="1"/>
    <col min="12297" max="12297" width="25.7265625" style="107" bestFit="1" customWidth="1"/>
    <col min="12298" max="12298" width="26" style="107" customWidth="1"/>
    <col min="12299" max="12299" width="25.7265625" style="107" bestFit="1" customWidth="1"/>
    <col min="12300" max="12300" width="26" style="107" customWidth="1"/>
    <col min="12301" max="12301" width="25.7265625" style="107" bestFit="1" customWidth="1"/>
    <col min="12302" max="12302" width="25.54296875" style="107" bestFit="1" customWidth="1"/>
    <col min="12303" max="12303" width="25.7265625" style="107" bestFit="1" customWidth="1"/>
    <col min="12304" max="12304" width="25.54296875" style="107" bestFit="1" customWidth="1"/>
    <col min="12305" max="12305" width="25.7265625" style="107" bestFit="1" customWidth="1"/>
    <col min="12306" max="12306" width="24.81640625" style="107" bestFit="1" customWidth="1"/>
    <col min="12307" max="12307" width="23.7265625" style="107" bestFit="1" customWidth="1"/>
    <col min="12308" max="12308" width="24.81640625" style="107" bestFit="1" customWidth="1"/>
    <col min="12309" max="12309" width="23.7265625" style="107" bestFit="1" customWidth="1"/>
    <col min="12310" max="12310" width="24.81640625" style="107" bestFit="1" customWidth="1"/>
    <col min="12311" max="12316" width="25.7265625" style="107" bestFit="1" customWidth="1"/>
    <col min="12317" max="12323" width="22.81640625" style="107" bestFit="1" customWidth="1"/>
    <col min="12324" max="12324" width="23.1796875" style="107" bestFit="1" customWidth="1"/>
    <col min="12325" max="12325" width="22.81640625" style="107" bestFit="1" customWidth="1"/>
    <col min="12326" max="12326" width="23.1796875" style="107" bestFit="1" customWidth="1"/>
    <col min="12327" max="12327" width="22.81640625" style="107" bestFit="1" customWidth="1"/>
    <col min="12328" max="12328" width="23.1796875" style="107" bestFit="1" customWidth="1"/>
    <col min="12329" max="12329" width="23.54296875" style="107" bestFit="1" customWidth="1"/>
    <col min="12330" max="12330" width="24.81640625" style="107" bestFit="1" customWidth="1"/>
    <col min="12331" max="12331" width="23.54296875" style="107" bestFit="1" customWidth="1"/>
    <col min="12332" max="12332" width="24.81640625" style="107" bestFit="1" customWidth="1"/>
    <col min="12333" max="12333" width="23.54296875" style="107" bestFit="1" customWidth="1"/>
    <col min="12334" max="12334" width="24.81640625" style="107" bestFit="1" customWidth="1"/>
    <col min="12335" max="12336" width="22.81640625" style="107" bestFit="1" customWidth="1"/>
    <col min="12337" max="12337" width="25" style="107" bestFit="1" customWidth="1"/>
    <col min="12338" max="12338" width="22.81640625" style="107" bestFit="1" customWidth="1"/>
    <col min="12339" max="12339" width="25" style="107" bestFit="1" customWidth="1"/>
    <col min="12340" max="12340" width="22.81640625" style="107" bestFit="1" customWidth="1"/>
    <col min="12341" max="12341" width="25" style="107" bestFit="1" customWidth="1"/>
    <col min="12342" max="12342" width="22.26953125" style="107" bestFit="1" customWidth="1"/>
    <col min="12343" max="12343" width="20.81640625" style="107" bestFit="1" customWidth="1"/>
    <col min="12344" max="12344" width="22.26953125" style="107" bestFit="1" customWidth="1"/>
    <col min="12345" max="12345" width="20.81640625" style="107" bestFit="1" customWidth="1"/>
    <col min="12346" max="12346" width="22.26953125" style="107" bestFit="1" customWidth="1"/>
    <col min="12347" max="12347" width="20.81640625" style="107" bestFit="1" customWidth="1"/>
    <col min="12348" max="12348" width="22.26953125" style="107" bestFit="1" customWidth="1"/>
    <col min="12349" max="12349" width="22" style="107" bestFit="1" customWidth="1"/>
    <col min="12350" max="12350" width="22.26953125" style="107" bestFit="1" customWidth="1"/>
    <col min="12351" max="12351" width="22.7265625" style="107" bestFit="1" customWidth="1"/>
    <col min="12352" max="12352" width="23.81640625" style="107" bestFit="1" customWidth="1"/>
    <col min="12353" max="12353" width="25" style="107" bestFit="1" customWidth="1"/>
    <col min="12354" max="12354" width="23.453125" style="107" bestFit="1" customWidth="1"/>
    <col min="12355" max="12355" width="25" style="107" bestFit="1" customWidth="1"/>
    <col min="12356" max="12356" width="22.26953125" style="107" bestFit="1" customWidth="1"/>
    <col min="12357" max="12357" width="26" style="107" customWidth="1"/>
    <col min="12358" max="12358" width="22.26953125" style="107" bestFit="1" customWidth="1"/>
    <col min="12359" max="12359" width="19.54296875" style="107" bestFit="1" customWidth="1"/>
    <col min="12360" max="12360" width="22.26953125" style="107" bestFit="1" customWidth="1"/>
    <col min="12361" max="12361" width="26" style="107" customWidth="1"/>
    <col min="12362" max="12362" width="23.54296875" style="107" bestFit="1" customWidth="1"/>
    <col min="12363" max="12364" width="23.7265625" style="107" bestFit="1" customWidth="1"/>
    <col min="12365" max="12365" width="25.81640625" style="107" bestFit="1" customWidth="1"/>
    <col min="12366" max="12367" width="25.7265625" style="107" bestFit="1" customWidth="1"/>
    <col min="12368" max="12369" width="23.7265625" style="107" bestFit="1" customWidth="1"/>
    <col min="12370" max="12370" width="23.54296875" style="107" bestFit="1" customWidth="1"/>
    <col min="12371" max="12371" width="25.54296875" style="107" bestFit="1" customWidth="1"/>
    <col min="12372" max="12372" width="23.54296875" style="107" bestFit="1" customWidth="1"/>
    <col min="12373" max="12373" width="23.453125" style="107" bestFit="1" customWidth="1"/>
    <col min="12374" max="12375" width="24.453125" style="107" bestFit="1" customWidth="1"/>
    <col min="12376" max="12376" width="22.7265625" style="107" bestFit="1" customWidth="1"/>
    <col min="12377" max="12377" width="24" style="107" bestFit="1" customWidth="1"/>
    <col min="12378" max="12378" width="22.1796875" style="107" bestFit="1" customWidth="1"/>
    <col min="12379" max="12379" width="18.7265625" style="107" bestFit="1" customWidth="1"/>
    <col min="12380" max="12380" width="14.54296875" style="107" bestFit="1" customWidth="1"/>
    <col min="12381" max="12381" width="22.54296875" style="107" bestFit="1" customWidth="1"/>
    <col min="12382" max="12382" width="23.453125" style="107" bestFit="1" customWidth="1"/>
    <col min="12383" max="12544" width="26" style="107"/>
    <col min="12545" max="12545" width="34.7265625" style="107" customWidth="1"/>
    <col min="12546" max="12546" width="17" style="107" bestFit="1" customWidth="1"/>
    <col min="12547" max="12547" width="20.7265625" style="107" bestFit="1" customWidth="1"/>
    <col min="12548" max="12548" width="12.26953125" style="107" bestFit="1" customWidth="1"/>
    <col min="12549" max="12549" width="25.7265625" style="107" bestFit="1" customWidth="1"/>
    <col min="12550" max="12550" width="24.7265625" style="107" bestFit="1" customWidth="1"/>
    <col min="12551" max="12551" width="25.7265625" style="107" bestFit="1" customWidth="1"/>
    <col min="12552" max="12552" width="23.81640625" style="107" bestFit="1" customWidth="1"/>
    <col min="12553" max="12553" width="25.7265625" style="107" bestFit="1" customWidth="1"/>
    <col min="12554" max="12554" width="26" style="107" customWidth="1"/>
    <col min="12555" max="12555" width="25.7265625" style="107" bestFit="1" customWidth="1"/>
    <col min="12556" max="12556" width="26" style="107" customWidth="1"/>
    <col min="12557" max="12557" width="25.7265625" style="107" bestFit="1" customWidth="1"/>
    <col min="12558" max="12558" width="25.54296875" style="107" bestFit="1" customWidth="1"/>
    <col min="12559" max="12559" width="25.7265625" style="107" bestFit="1" customWidth="1"/>
    <col min="12560" max="12560" width="25.54296875" style="107" bestFit="1" customWidth="1"/>
    <col min="12561" max="12561" width="25.7265625" style="107" bestFit="1" customWidth="1"/>
    <col min="12562" max="12562" width="24.81640625" style="107" bestFit="1" customWidth="1"/>
    <col min="12563" max="12563" width="23.7265625" style="107" bestFit="1" customWidth="1"/>
    <col min="12564" max="12564" width="24.81640625" style="107" bestFit="1" customWidth="1"/>
    <col min="12565" max="12565" width="23.7265625" style="107" bestFit="1" customWidth="1"/>
    <col min="12566" max="12566" width="24.81640625" style="107" bestFit="1" customWidth="1"/>
    <col min="12567" max="12572" width="25.7265625" style="107" bestFit="1" customWidth="1"/>
    <col min="12573" max="12579" width="22.81640625" style="107" bestFit="1" customWidth="1"/>
    <col min="12580" max="12580" width="23.1796875" style="107" bestFit="1" customWidth="1"/>
    <col min="12581" max="12581" width="22.81640625" style="107" bestFit="1" customWidth="1"/>
    <col min="12582" max="12582" width="23.1796875" style="107" bestFit="1" customWidth="1"/>
    <col min="12583" max="12583" width="22.81640625" style="107" bestFit="1" customWidth="1"/>
    <col min="12584" max="12584" width="23.1796875" style="107" bestFit="1" customWidth="1"/>
    <col min="12585" max="12585" width="23.54296875" style="107" bestFit="1" customWidth="1"/>
    <col min="12586" max="12586" width="24.81640625" style="107" bestFit="1" customWidth="1"/>
    <col min="12587" max="12587" width="23.54296875" style="107" bestFit="1" customWidth="1"/>
    <col min="12588" max="12588" width="24.81640625" style="107" bestFit="1" customWidth="1"/>
    <col min="12589" max="12589" width="23.54296875" style="107" bestFit="1" customWidth="1"/>
    <col min="12590" max="12590" width="24.81640625" style="107" bestFit="1" customWidth="1"/>
    <col min="12591" max="12592" width="22.81640625" style="107" bestFit="1" customWidth="1"/>
    <col min="12593" max="12593" width="25" style="107" bestFit="1" customWidth="1"/>
    <col min="12594" max="12594" width="22.81640625" style="107" bestFit="1" customWidth="1"/>
    <col min="12595" max="12595" width="25" style="107" bestFit="1" customWidth="1"/>
    <col min="12596" max="12596" width="22.81640625" style="107" bestFit="1" customWidth="1"/>
    <col min="12597" max="12597" width="25" style="107" bestFit="1" customWidth="1"/>
    <col min="12598" max="12598" width="22.26953125" style="107" bestFit="1" customWidth="1"/>
    <col min="12599" max="12599" width="20.81640625" style="107" bestFit="1" customWidth="1"/>
    <col min="12600" max="12600" width="22.26953125" style="107" bestFit="1" customWidth="1"/>
    <col min="12601" max="12601" width="20.81640625" style="107" bestFit="1" customWidth="1"/>
    <col min="12602" max="12602" width="22.26953125" style="107" bestFit="1" customWidth="1"/>
    <col min="12603" max="12603" width="20.81640625" style="107" bestFit="1" customWidth="1"/>
    <col min="12604" max="12604" width="22.26953125" style="107" bestFit="1" customWidth="1"/>
    <col min="12605" max="12605" width="22" style="107" bestFit="1" customWidth="1"/>
    <col min="12606" max="12606" width="22.26953125" style="107" bestFit="1" customWidth="1"/>
    <col min="12607" max="12607" width="22.7265625" style="107" bestFit="1" customWidth="1"/>
    <col min="12608" max="12608" width="23.81640625" style="107" bestFit="1" customWidth="1"/>
    <col min="12609" max="12609" width="25" style="107" bestFit="1" customWidth="1"/>
    <col min="12610" max="12610" width="23.453125" style="107" bestFit="1" customWidth="1"/>
    <col min="12611" max="12611" width="25" style="107" bestFit="1" customWidth="1"/>
    <col min="12612" max="12612" width="22.26953125" style="107" bestFit="1" customWidth="1"/>
    <col min="12613" max="12613" width="26" style="107" customWidth="1"/>
    <col min="12614" max="12614" width="22.26953125" style="107" bestFit="1" customWidth="1"/>
    <col min="12615" max="12615" width="19.54296875" style="107" bestFit="1" customWidth="1"/>
    <col min="12616" max="12616" width="22.26953125" style="107" bestFit="1" customWidth="1"/>
    <col min="12617" max="12617" width="26" style="107" customWidth="1"/>
    <col min="12618" max="12618" width="23.54296875" style="107" bestFit="1" customWidth="1"/>
    <col min="12619" max="12620" width="23.7265625" style="107" bestFit="1" customWidth="1"/>
    <col min="12621" max="12621" width="25.81640625" style="107" bestFit="1" customWidth="1"/>
    <col min="12622" max="12623" width="25.7265625" style="107" bestFit="1" customWidth="1"/>
    <col min="12624" max="12625" width="23.7265625" style="107" bestFit="1" customWidth="1"/>
    <col min="12626" max="12626" width="23.54296875" style="107" bestFit="1" customWidth="1"/>
    <col min="12627" max="12627" width="25.54296875" style="107" bestFit="1" customWidth="1"/>
    <col min="12628" max="12628" width="23.54296875" style="107" bestFit="1" customWidth="1"/>
    <col min="12629" max="12629" width="23.453125" style="107" bestFit="1" customWidth="1"/>
    <col min="12630" max="12631" width="24.453125" style="107" bestFit="1" customWidth="1"/>
    <col min="12632" max="12632" width="22.7265625" style="107" bestFit="1" customWidth="1"/>
    <col min="12633" max="12633" width="24" style="107" bestFit="1" customWidth="1"/>
    <col min="12634" max="12634" width="22.1796875" style="107" bestFit="1" customWidth="1"/>
    <col min="12635" max="12635" width="18.7265625" style="107" bestFit="1" customWidth="1"/>
    <col min="12636" max="12636" width="14.54296875" style="107" bestFit="1" customWidth="1"/>
    <col min="12637" max="12637" width="22.54296875" style="107" bestFit="1" customWidth="1"/>
    <col min="12638" max="12638" width="23.453125" style="107" bestFit="1" customWidth="1"/>
    <col min="12639" max="12800" width="26" style="107"/>
    <col min="12801" max="12801" width="34.7265625" style="107" customWidth="1"/>
    <col min="12802" max="12802" width="17" style="107" bestFit="1" customWidth="1"/>
    <col min="12803" max="12803" width="20.7265625" style="107" bestFit="1" customWidth="1"/>
    <col min="12804" max="12804" width="12.26953125" style="107" bestFit="1" customWidth="1"/>
    <col min="12805" max="12805" width="25.7265625" style="107" bestFit="1" customWidth="1"/>
    <col min="12806" max="12806" width="24.7265625" style="107" bestFit="1" customWidth="1"/>
    <col min="12807" max="12807" width="25.7265625" style="107" bestFit="1" customWidth="1"/>
    <col min="12808" max="12808" width="23.81640625" style="107" bestFit="1" customWidth="1"/>
    <col min="12809" max="12809" width="25.7265625" style="107" bestFit="1" customWidth="1"/>
    <col min="12810" max="12810" width="26" style="107" customWidth="1"/>
    <col min="12811" max="12811" width="25.7265625" style="107" bestFit="1" customWidth="1"/>
    <col min="12812" max="12812" width="26" style="107" customWidth="1"/>
    <col min="12813" max="12813" width="25.7265625" style="107" bestFit="1" customWidth="1"/>
    <col min="12814" max="12814" width="25.54296875" style="107" bestFit="1" customWidth="1"/>
    <col min="12815" max="12815" width="25.7265625" style="107" bestFit="1" customWidth="1"/>
    <col min="12816" max="12816" width="25.54296875" style="107" bestFit="1" customWidth="1"/>
    <col min="12817" max="12817" width="25.7265625" style="107" bestFit="1" customWidth="1"/>
    <col min="12818" max="12818" width="24.81640625" style="107" bestFit="1" customWidth="1"/>
    <col min="12819" max="12819" width="23.7265625" style="107" bestFit="1" customWidth="1"/>
    <col min="12820" max="12820" width="24.81640625" style="107" bestFit="1" customWidth="1"/>
    <col min="12821" max="12821" width="23.7265625" style="107" bestFit="1" customWidth="1"/>
    <col min="12822" max="12822" width="24.81640625" style="107" bestFit="1" customWidth="1"/>
    <col min="12823" max="12828" width="25.7265625" style="107" bestFit="1" customWidth="1"/>
    <col min="12829" max="12835" width="22.81640625" style="107" bestFit="1" customWidth="1"/>
    <col min="12836" max="12836" width="23.1796875" style="107" bestFit="1" customWidth="1"/>
    <col min="12837" max="12837" width="22.81640625" style="107" bestFit="1" customWidth="1"/>
    <col min="12838" max="12838" width="23.1796875" style="107" bestFit="1" customWidth="1"/>
    <col min="12839" max="12839" width="22.81640625" style="107" bestFit="1" customWidth="1"/>
    <col min="12840" max="12840" width="23.1796875" style="107" bestFit="1" customWidth="1"/>
    <col min="12841" max="12841" width="23.54296875" style="107" bestFit="1" customWidth="1"/>
    <col min="12842" max="12842" width="24.81640625" style="107" bestFit="1" customWidth="1"/>
    <col min="12843" max="12843" width="23.54296875" style="107" bestFit="1" customWidth="1"/>
    <col min="12844" max="12844" width="24.81640625" style="107" bestFit="1" customWidth="1"/>
    <col min="12845" max="12845" width="23.54296875" style="107" bestFit="1" customWidth="1"/>
    <col min="12846" max="12846" width="24.81640625" style="107" bestFit="1" customWidth="1"/>
    <col min="12847" max="12848" width="22.81640625" style="107" bestFit="1" customWidth="1"/>
    <col min="12849" max="12849" width="25" style="107" bestFit="1" customWidth="1"/>
    <col min="12850" max="12850" width="22.81640625" style="107" bestFit="1" customWidth="1"/>
    <col min="12851" max="12851" width="25" style="107" bestFit="1" customWidth="1"/>
    <col min="12852" max="12852" width="22.81640625" style="107" bestFit="1" customWidth="1"/>
    <col min="12853" max="12853" width="25" style="107" bestFit="1" customWidth="1"/>
    <col min="12854" max="12854" width="22.26953125" style="107" bestFit="1" customWidth="1"/>
    <col min="12855" max="12855" width="20.81640625" style="107" bestFit="1" customWidth="1"/>
    <col min="12856" max="12856" width="22.26953125" style="107" bestFit="1" customWidth="1"/>
    <col min="12857" max="12857" width="20.81640625" style="107" bestFit="1" customWidth="1"/>
    <col min="12858" max="12858" width="22.26953125" style="107" bestFit="1" customWidth="1"/>
    <col min="12859" max="12859" width="20.81640625" style="107" bestFit="1" customWidth="1"/>
    <col min="12860" max="12860" width="22.26953125" style="107" bestFit="1" customWidth="1"/>
    <col min="12861" max="12861" width="22" style="107" bestFit="1" customWidth="1"/>
    <col min="12862" max="12862" width="22.26953125" style="107" bestFit="1" customWidth="1"/>
    <col min="12863" max="12863" width="22.7265625" style="107" bestFit="1" customWidth="1"/>
    <col min="12864" max="12864" width="23.81640625" style="107" bestFit="1" customWidth="1"/>
    <col min="12865" max="12865" width="25" style="107" bestFit="1" customWidth="1"/>
    <col min="12866" max="12866" width="23.453125" style="107" bestFit="1" customWidth="1"/>
    <col min="12867" max="12867" width="25" style="107" bestFit="1" customWidth="1"/>
    <col min="12868" max="12868" width="22.26953125" style="107" bestFit="1" customWidth="1"/>
    <col min="12869" max="12869" width="26" style="107" customWidth="1"/>
    <col min="12870" max="12870" width="22.26953125" style="107" bestFit="1" customWidth="1"/>
    <col min="12871" max="12871" width="19.54296875" style="107" bestFit="1" customWidth="1"/>
    <col min="12872" max="12872" width="22.26953125" style="107" bestFit="1" customWidth="1"/>
    <col min="12873" max="12873" width="26" style="107" customWidth="1"/>
    <col min="12874" max="12874" width="23.54296875" style="107" bestFit="1" customWidth="1"/>
    <col min="12875" max="12876" width="23.7265625" style="107" bestFit="1" customWidth="1"/>
    <col min="12877" max="12877" width="25.81640625" style="107" bestFit="1" customWidth="1"/>
    <col min="12878" max="12879" width="25.7265625" style="107" bestFit="1" customWidth="1"/>
    <col min="12880" max="12881" width="23.7265625" style="107" bestFit="1" customWidth="1"/>
    <col min="12882" max="12882" width="23.54296875" style="107" bestFit="1" customWidth="1"/>
    <col min="12883" max="12883" width="25.54296875" style="107" bestFit="1" customWidth="1"/>
    <col min="12884" max="12884" width="23.54296875" style="107" bestFit="1" customWidth="1"/>
    <col min="12885" max="12885" width="23.453125" style="107" bestFit="1" customWidth="1"/>
    <col min="12886" max="12887" width="24.453125" style="107" bestFit="1" customWidth="1"/>
    <col min="12888" max="12888" width="22.7265625" style="107" bestFit="1" customWidth="1"/>
    <col min="12889" max="12889" width="24" style="107" bestFit="1" customWidth="1"/>
    <col min="12890" max="12890" width="22.1796875" style="107" bestFit="1" customWidth="1"/>
    <col min="12891" max="12891" width="18.7265625" style="107" bestFit="1" customWidth="1"/>
    <col min="12892" max="12892" width="14.54296875" style="107" bestFit="1" customWidth="1"/>
    <col min="12893" max="12893" width="22.54296875" style="107" bestFit="1" customWidth="1"/>
    <col min="12894" max="12894" width="23.453125" style="107" bestFit="1" customWidth="1"/>
    <col min="12895" max="13056" width="26" style="107"/>
    <col min="13057" max="13057" width="34.7265625" style="107" customWidth="1"/>
    <col min="13058" max="13058" width="17" style="107" bestFit="1" customWidth="1"/>
    <col min="13059" max="13059" width="20.7265625" style="107" bestFit="1" customWidth="1"/>
    <col min="13060" max="13060" width="12.26953125" style="107" bestFit="1" customWidth="1"/>
    <col min="13061" max="13061" width="25.7265625" style="107" bestFit="1" customWidth="1"/>
    <col min="13062" max="13062" width="24.7265625" style="107" bestFit="1" customWidth="1"/>
    <col min="13063" max="13063" width="25.7265625" style="107" bestFit="1" customWidth="1"/>
    <col min="13064" max="13064" width="23.81640625" style="107" bestFit="1" customWidth="1"/>
    <col min="13065" max="13065" width="25.7265625" style="107" bestFit="1" customWidth="1"/>
    <col min="13066" max="13066" width="26" style="107" customWidth="1"/>
    <col min="13067" max="13067" width="25.7265625" style="107" bestFit="1" customWidth="1"/>
    <col min="13068" max="13068" width="26" style="107" customWidth="1"/>
    <col min="13069" max="13069" width="25.7265625" style="107" bestFit="1" customWidth="1"/>
    <col min="13070" max="13070" width="25.54296875" style="107" bestFit="1" customWidth="1"/>
    <col min="13071" max="13071" width="25.7265625" style="107" bestFit="1" customWidth="1"/>
    <col min="13072" max="13072" width="25.54296875" style="107" bestFit="1" customWidth="1"/>
    <col min="13073" max="13073" width="25.7265625" style="107" bestFit="1" customWidth="1"/>
    <col min="13074" max="13074" width="24.81640625" style="107" bestFit="1" customWidth="1"/>
    <col min="13075" max="13075" width="23.7265625" style="107" bestFit="1" customWidth="1"/>
    <col min="13076" max="13076" width="24.81640625" style="107" bestFit="1" customWidth="1"/>
    <col min="13077" max="13077" width="23.7265625" style="107" bestFit="1" customWidth="1"/>
    <col min="13078" max="13078" width="24.81640625" style="107" bestFit="1" customWidth="1"/>
    <col min="13079" max="13084" width="25.7265625" style="107" bestFit="1" customWidth="1"/>
    <col min="13085" max="13091" width="22.81640625" style="107" bestFit="1" customWidth="1"/>
    <col min="13092" max="13092" width="23.1796875" style="107" bestFit="1" customWidth="1"/>
    <col min="13093" max="13093" width="22.81640625" style="107" bestFit="1" customWidth="1"/>
    <col min="13094" max="13094" width="23.1796875" style="107" bestFit="1" customWidth="1"/>
    <col min="13095" max="13095" width="22.81640625" style="107" bestFit="1" customWidth="1"/>
    <col min="13096" max="13096" width="23.1796875" style="107" bestFit="1" customWidth="1"/>
    <col min="13097" max="13097" width="23.54296875" style="107" bestFit="1" customWidth="1"/>
    <col min="13098" max="13098" width="24.81640625" style="107" bestFit="1" customWidth="1"/>
    <col min="13099" max="13099" width="23.54296875" style="107" bestFit="1" customWidth="1"/>
    <col min="13100" max="13100" width="24.81640625" style="107" bestFit="1" customWidth="1"/>
    <col min="13101" max="13101" width="23.54296875" style="107" bestFit="1" customWidth="1"/>
    <col min="13102" max="13102" width="24.81640625" style="107" bestFit="1" customWidth="1"/>
    <col min="13103" max="13104" width="22.81640625" style="107" bestFit="1" customWidth="1"/>
    <col min="13105" max="13105" width="25" style="107" bestFit="1" customWidth="1"/>
    <col min="13106" max="13106" width="22.81640625" style="107" bestFit="1" customWidth="1"/>
    <col min="13107" max="13107" width="25" style="107" bestFit="1" customWidth="1"/>
    <col min="13108" max="13108" width="22.81640625" style="107" bestFit="1" customWidth="1"/>
    <col min="13109" max="13109" width="25" style="107" bestFit="1" customWidth="1"/>
    <col min="13110" max="13110" width="22.26953125" style="107" bestFit="1" customWidth="1"/>
    <col min="13111" max="13111" width="20.81640625" style="107" bestFit="1" customWidth="1"/>
    <col min="13112" max="13112" width="22.26953125" style="107" bestFit="1" customWidth="1"/>
    <col min="13113" max="13113" width="20.81640625" style="107" bestFit="1" customWidth="1"/>
    <col min="13114" max="13114" width="22.26953125" style="107" bestFit="1" customWidth="1"/>
    <col min="13115" max="13115" width="20.81640625" style="107" bestFit="1" customWidth="1"/>
    <col min="13116" max="13116" width="22.26953125" style="107" bestFit="1" customWidth="1"/>
    <col min="13117" max="13117" width="22" style="107" bestFit="1" customWidth="1"/>
    <col min="13118" max="13118" width="22.26953125" style="107" bestFit="1" customWidth="1"/>
    <col min="13119" max="13119" width="22.7265625" style="107" bestFit="1" customWidth="1"/>
    <col min="13120" max="13120" width="23.81640625" style="107" bestFit="1" customWidth="1"/>
    <col min="13121" max="13121" width="25" style="107" bestFit="1" customWidth="1"/>
    <col min="13122" max="13122" width="23.453125" style="107" bestFit="1" customWidth="1"/>
    <col min="13123" max="13123" width="25" style="107" bestFit="1" customWidth="1"/>
    <col min="13124" max="13124" width="22.26953125" style="107" bestFit="1" customWidth="1"/>
    <col min="13125" max="13125" width="26" style="107" customWidth="1"/>
    <col min="13126" max="13126" width="22.26953125" style="107" bestFit="1" customWidth="1"/>
    <col min="13127" max="13127" width="19.54296875" style="107" bestFit="1" customWidth="1"/>
    <col min="13128" max="13128" width="22.26953125" style="107" bestFit="1" customWidth="1"/>
    <col min="13129" max="13129" width="26" style="107" customWidth="1"/>
    <col min="13130" max="13130" width="23.54296875" style="107" bestFit="1" customWidth="1"/>
    <col min="13131" max="13132" width="23.7265625" style="107" bestFit="1" customWidth="1"/>
    <col min="13133" max="13133" width="25.81640625" style="107" bestFit="1" customWidth="1"/>
    <col min="13134" max="13135" width="25.7265625" style="107" bestFit="1" customWidth="1"/>
    <col min="13136" max="13137" width="23.7265625" style="107" bestFit="1" customWidth="1"/>
    <col min="13138" max="13138" width="23.54296875" style="107" bestFit="1" customWidth="1"/>
    <col min="13139" max="13139" width="25.54296875" style="107" bestFit="1" customWidth="1"/>
    <col min="13140" max="13140" width="23.54296875" style="107" bestFit="1" customWidth="1"/>
    <col min="13141" max="13141" width="23.453125" style="107" bestFit="1" customWidth="1"/>
    <col min="13142" max="13143" width="24.453125" style="107" bestFit="1" customWidth="1"/>
    <col min="13144" max="13144" width="22.7265625" style="107" bestFit="1" customWidth="1"/>
    <col min="13145" max="13145" width="24" style="107" bestFit="1" customWidth="1"/>
    <col min="13146" max="13146" width="22.1796875" style="107" bestFit="1" customWidth="1"/>
    <col min="13147" max="13147" width="18.7265625" style="107" bestFit="1" customWidth="1"/>
    <col min="13148" max="13148" width="14.54296875" style="107" bestFit="1" customWidth="1"/>
    <col min="13149" max="13149" width="22.54296875" style="107" bestFit="1" customWidth="1"/>
    <col min="13150" max="13150" width="23.453125" style="107" bestFit="1" customWidth="1"/>
    <col min="13151" max="13312" width="26" style="107"/>
    <col min="13313" max="13313" width="34.7265625" style="107" customWidth="1"/>
    <col min="13314" max="13314" width="17" style="107" bestFit="1" customWidth="1"/>
    <col min="13315" max="13315" width="20.7265625" style="107" bestFit="1" customWidth="1"/>
    <col min="13316" max="13316" width="12.26953125" style="107" bestFit="1" customWidth="1"/>
    <col min="13317" max="13317" width="25.7265625" style="107" bestFit="1" customWidth="1"/>
    <col min="13318" max="13318" width="24.7265625" style="107" bestFit="1" customWidth="1"/>
    <col min="13319" max="13319" width="25.7265625" style="107" bestFit="1" customWidth="1"/>
    <col min="13320" max="13320" width="23.81640625" style="107" bestFit="1" customWidth="1"/>
    <col min="13321" max="13321" width="25.7265625" style="107" bestFit="1" customWidth="1"/>
    <col min="13322" max="13322" width="26" style="107" customWidth="1"/>
    <col min="13323" max="13323" width="25.7265625" style="107" bestFit="1" customWidth="1"/>
    <col min="13324" max="13324" width="26" style="107" customWidth="1"/>
    <col min="13325" max="13325" width="25.7265625" style="107" bestFit="1" customWidth="1"/>
    <col min="13326" max="13326" width="25.54296875" style="107" bestFit="1" customWidth="1"/>
    <col min="13327" max="13327" width="25.7265625" style="107" bestFit="1" customWidth="1"/>
    <col min="13328" max="13328" width="25.54296875" style="107" bestFit="1" customWidth="1"/>
    <col min="13329" max="13329" width="25.7265625" style="107" bestFit="1" customWidth="1"/>
    <col min="13330" max="13330" width="24.81640625" style="107" bestFit="1" customWidth="1"/>
    <col min="13331" max="13331" width="23.7265625" style="107" bestFit="1" customWidth="1"/>
    <col min="13332" max="13332" width="24.81640625" style="107" bestFit="1" customWidth="1"/>
    <col min="13333" max="13333" width="23.7265625" style="107" bestFit="1" customWidth="1"/>
    <col min="13334" max="13334" width="24.81640625" style="107" bestFit="1" customWidth="1"/>
    <col min="13335" max="13340" width="25.7265625" style="107" bestFit="1" customWidth="1"/>
    <col min="13341" max="13347" width="22.81640625" style="107" bestFit="1" customWidth="1"/>
    <col min="13348" max="13348" width="23.1796875" style="107" bestFit="1" customWidth="1"/>
    <col min="13349" max="13349" width="22.81640625" style="107" bestFit="1" customWidth="1"/>
    <col min="13350" max="13350" width="23.1796875" style="107" bestFit="1" customWidth="1"/>
    <col min="13351" max="13351" width="22.81640625" style="107" bestFit="1" customWidth="1"/>
    <col min="13352" max="13352" width="23.1796875" style="107" bestFit="1" customWidth="1"/>
    <col min="13353" max="13353" width="23.54296875" style="107" bestFit="1" customWidth="1"/>
    <col min="13354" max="13354" width="24.81640625" style="107" bestFit="1" customWidth="1"/>
    <col min="13355" max="13355" width="23.54296875" style="107" bestFit="1" customWidth="1"/>
    <col min="13356" max="13356" width="24.81640625" style="107" bestFit="1" customWidth="1"/>
    <col min="13357" max="13357" width="23.54296875" style="107" bestFit="1" customWidth="1"/>
    <col min="13358" max="13358" width="24.81640625" style="107" bestFit="1" customWidth="1"/>
    <col min="13359" max="13360" width="22.81640625" style="107" bestFit="1" customWidth="1"/>
    <col min="13361" max="13361" width="25" style="107" bestFit="1" customWidth="1"/>
    <col min="13362" max="13362" width="22.81640625" style="107" bestFit="1" customWidth="1"/>
    <col min="13363" max="13363" width="25" style="107" bestFit="1" customWidth="1"/>
    <col min="13364" max="13364" width="22.81640625" style="107" bestFit="1" customWidth="1"/>
    <col min="13365" max="13365" width="25" style="107" bestFit="1" customWidth="1"/>
    <col min="13366" max="13366" width="22.26953125" style="107" bestFit="1" customWidth="1"/>
    <col min="13367" max="13367" width="20.81640625" style="107" bestFit="1" customWidth="1"/>
    <col min="13368" max="13368" width="22.26953125" style="107" bestFit="1" customWidth="1"/>
    <col min="13369" max="13369" width="20.81640625" style="107" bestFit="1" customWidth="1"/>
    <col min="13370" max="13370" width="22.26953125" style="107" bestFit="1" customWidth="1"/>
    <col min="13371" max="13371" width="20.81640625" style="107" bestFit="1" customWidth="1"/>
    <col min="13372" max="13372" width="22.26953125" style="107" bestFit="1" customWidth="1"/>
    <col min="13373" max="13373" width="22" style="107" bestFit="1" customWidth="1"/>
    <col min="13374" max="13374" width="22.26953125" style="107" bestFit="1" customWidth="1"/>
    <col min="13375" max="13375" width="22.7265625" style="107" bestFit="1" customWidth="1"/>
    <col min="13376" max="13376" width="23.81640625" style="107" bestFit="1" customWidth="1"/>
    <col min="13377" max="13377" width="25" style="107" bestFit="1" customWidth="1"/>
    <col min="13378" max="13378" width="23.453125" style="107" bestFit="1" customWidth="1"/>
    <col min="13379" max="13379" width="25" style="107" bestFit="1" customWidth="1"/>
    <col min="13380" max="13380" width="22.26953125" style="107" bestFit="1" customWidth="1"/>
    <col min="13381" max="13381" width="26" style="107" customWidth="1"/>
    <col min="13382" max="13382" width="22.26953125" style="107" bestFit="1" customWidth="1"/>
    <col min="13383" max="13383" width="19.54296875" style="107" bestFit="1" customWidth="1"/>
    <col min="13384" max="13384" width="22.26953125" style="107" bestFit="1" customWidth="1"/>
    <col min="13385" max="13385" width="26" style="107" customWidth="1"/>
    <col min="13386" max="13386" width="23.54296875" style="107" bestFit="1" customWidth="1"/>
    <col min="13387" max="13388" width="23.7265625" style="107" bestFit="1" customWidth="1"/>
    <col min="13389" max="13389" width="25.81640625" style="107" bestFit="1" customWidth="1"/>
    <col min="13390" max="13391" width="25.7265625" style="107" bestFit="1" customWidth="1"/>
    <col min="13392" max="13393" width="23.7265625" style="107" bestFit="1" customWidth="1"/>
    <col min="13394" max="13394" width="23.54296875" style="107" bestFit="1" customWidth="1"/>
    <col min="13395" max="13395" width="25.54296875" style="107" bestFit="1" customWidth="1"/>
    <col min="13396" max="13396" width="23.54296875" style="107" bestFit="1" customWidth="1"/>
    <col min="13397" max="13397" width="23.453125" style="107" bestFit="1" customWidth="1"/>
    <col min="13398" max="13399" width="24.453125" style="107" bestFit="1" customWidth="1"/>
    <col min="13400" max="13400" width="22.7265625" style="107" bestFit="1" customWidth="1"/>
    <col min="13401" max="13401" width="24" style="107" bestFit="1" customWidth="1"/>
    <col min="13402" max="13402" width="22.1796875" style="107" bestFit="1" customWidth="1"/>
    <col min="13403" max="13403" width="18.7265625" style="107" bestFit="1" customWidth="1"/>
    <col min="13404" max="13404" width="14.54296875" style="107" bestFit="1" customWidth="1"/>
    <col min="13405" max="13405" width="22.54296875" style="107" bestFit="1" customWidth="1"/>
    <col min="13406" max="13406" width="23.453125" style="107" bestFit="1" customWidth="1"/>
    <col min="13407" max="13568" width="26" style="107"/>
    <col min="13569" max="13569" width="34.7265625" style="107" customWidth="1"/>
    <col min="13570" max="13570" width="17" style="107" bestFit="1" customWidth="1"/>
    <col min="13571" max="13571" width="20.7265625" style="107" bestFit="1" customWidth="1"/>
    <col min="13572" max="13572" width="12.26953125" style="107" bestFit="1" customWidth="1"/>
    <col min="13573" max="13573" width="25.7265625" style="107" bestFit="1" customWidth="1"/>
    <col min="13574" max="13574" width="24.7265625" style="107" bestFit="1" customWidth="1"/>
    <col min="13575" max="13575" width="25.7265625" style="107" bestFit="1" customWidth="1"/>
    <col min="13576" max="13576" width="23.81640625" style="107" bestFit="1" customWidth="1"/>
    <col min="13577" max="13577" width="25.7265625" style="107" bestFit="1" customWidth="1"/>
    <col min="13578" max="13578" width="26" style="107" customWidth="1"/>
    <col min="13579" max="13579" width="25.7265625" style="107" bestFit="1" customWidth="1"/>
    <col min="13580" max="13580" width="26" style="107" customWidth="1"/>
    <col min="13581" max="13581" width="25.7265625" style="107" bestFit="1" customWidth="1"/>
    <col min="13582" max="13582" width="25.54296875" style="107" bestFit="1" customWidth="1"/>
    <col min="13583" max="13583" width="25.7265625" style="107" bestFit="1" customWidth="1"/>
    <col min="13584" max="13584" width="25.54296875" style="107" bestFit="1" customWidth="1"/>
    <col min="13585" max="13585" width="25.7265625" style="107" bestFit="1" customWidth="1"/>
    <col min="13586" max="13586" width="24.81640625" style="107" bestFit="1" customWidth="1"/>
    <col min="13587" max="13587" width="23.7265625" style="107" bestFit="1" customWidth="1"/>
    <col min="13588" max="13588" width="24.81640625" style="107" bestFit="1" customWidth="1"/>
    <col min="13589" max="13589" width="23.7265625" style="107" bestFit="1" customWidth="1"/>
    <col min="13590" max="13590" width="24.81640625" style="107" bestFit="1" customWidth="1"/>
    <col min="13591" max="13596" width="25.7265625" style="107" bestFit="1" customWidth="1"/>
    <col min="13597" max="13603" width="22.81640625" style="107" bestFit="1" customWidth="1"/>
    <col min="13604" max="13604" width="23.1796875" style="107" bestFit="1" customWidth="1"/>
    <col min="13605" max="13605" width="22.81640625" style="107" bestFit="1" customWidth="1"/>
    <col min="13606" max="13606" width="23.1796875" style="107" bestFit="1" customWidth="1"/>
    <col min="13607" max="13607" width="22.81640625" style="107" bestFit="1" customWidth="1"/>
    <col min="13608" max="13608" width="23.1796875" style="107" bestFit="1" customWidth="1"/>
    <col min="13609" max="13609" width="23.54296875" style="107" bestFit="1" customWidth="1"/>
    <col min="13610" max="13610" width="24.81640625" style="107" bestFit="1" customWidth="1"/>
    <col min="13611" max="13611" width="23.54296875" style="107" bestFit="1" customWidth="1"/>
    <col min="13612" max="13612" width="24.81640625" style="107" bestFit="1" customWidth="1"/>
    <col min="13613" max="13613" width="23.54296875" style="107" bestFit="1" customWidth="1"/>
    <col min="13614" max="13614" width="24.81640625" style="107" bestFit="1" customWidth="1"/>
    <col min="13615" max="13616" width="22.81640625" style="107" bestFit="1" customWidth="1"/>
    <col min="13617" max="13617" width="25" style="107" bestFit="1" customWidth="1"/>
    <col min="13618" max="13618" width="22.81640625" style="107" bestFit="1" customWidth="1"/>
    <col min="13619" max="13619" width="25" style="107" bestFit="1" customWidth="1"/>
    <col min="13620" max="13620" width="22.81640625" style="107" bestFit="1" customWidth="1"/>
    <col min="13621" max="13621" width="25" style="107" bestFit="1" customWidth="1"/>
    <col min="13622" max="13622" width="22.26953125" style="107" bestFit="1" customWidth="1"/>
    <col min="13623" max="13623" width="20.81640625" style="107" bestFit="1" customWidth="1"/>
    <col min="13624" max="13624" width="22.26953125" style="107" bestFit="1" customWidth="1"/>
    <col min="13625" max="13625" width="20.81640625" style="107" bestFit="1" customWidth="1"/>
    <col min="13626" max="13626" width="22.26953125" style="107" bestFit="1" customWidth="1"/>
    <col min="13627" max="13627" width="20.81640625" style="107" bestFit="1" customWidth="1"/>
    <col min="13628" max="13628" width="22.26953125" style="107" bestFit="1" customWidth="1"/>
    <col min="13629" max="13629" width="22" style="107" bestFit="1" customWidth="1"/>
    <col min="13630" max="13630" width="22.26953125" style="107" bestFit="1" customWidth="1"/>
    <col min="13631" max="13631" width="22.7265625" style="107" bestFit="1" customWidth="1"/>
    <col min="13632" max="13632" width="23.81640625" style="107" bestFit="1" customWidth="1"/>
    <col min="13633" max="13633" width="25" style="107" bestFit="1" customWidth="1"/>
    <col min="13634" max="13634" width="23.453125" style="107" bestFit="1" customWidth="1"/>
    <col min="13635" max="13635" width="25" style="107" bestFit="1" customWidth="1"/>
    <col min="13636" max="13636" width="22.26953125" style="107" bestFit="1" customWidth="1"/>
    <col min="13637" max="13637" width="26" style="107" customWidth="1"/>
    <col min="13638" max="13638" width="22.26953125" style="107" bestFit="1" customWidth="1"/>
    <col min="13639" max="13639" width="19.54296875" style="107" bestFit="1" customWidth="1"/>
    <col min="13640" max="13640" width="22.26953125" style="107" bestFit="1" customWidth="1"/>
    <col min="13641" max="13641" width="26" style="107" customWidth="1"/>
    <col min="13642" max="13642" width="23.54296875" style="107" bestFit="1" customWidth="1"/>
    <col min="13643" max="13644" width="23.7265625" style="107" bestFit="1" customWidth="1"/>
    <col min="13645" max="13645" width="25.81640625" style="107" bestFit="1" customWidth="1"/>
    <col min="13646" max="13647" width="25.7265625" style="107" bestFit="1" customWidth="1"/>
    <col min="13648" max="13649" width="23.7265625" style="107" bestFit="1" customWidth="1"/>
    <col min="13650" max="13650" width="23.54296875" style="107" bestFit="1" customWidth="1"/>
    <col min="13651" max="13651" width="25.54296875" style="107" bestFit="1" customWidth="1"/>
    <col min="13652" max="13652" width="23.54296875" style="107" bestFit="1" customWidth="1"/>
    <col min="13653" max="13653" width="23.453125" style="107" bestFit="1" customWidth="1"/>
    <col min="13654" max="13655" width="24.453125" style="107" bestFit="1" customWidth="1"/>
    <col min="13656" max="13656" width="22.7265625" style="107" bestFit="1" customWidth="1"/>
    <col min="13657" max="13657" width="24" style="107" bestFit="1" customWidth="1"/>
    <col min="13658" max="13658" width="22.1796875" style="107" bestFit="1" customWidth="1"/>
    <col min="13659" max="13659" width="18.7265625" style="107" bestFit="1" customWidth="1"/>
    <col min="13660" max="13660" width="14.54296875" style="107" bestFit="1" customWidth="1"/>
    <col min="13661" max="13661" width="22.54296875" style="107" bestFit="1" customWidth="1"/>
    <col min="13662" max="13662" width="23.453125" style="107" bestFit="1" customWidth="1"/>
    <col min="13663" max="13824" width="26" style="107"/>
    <col min="13825" max="13825" width="34.7265625" style="107" customWidth="1"/>
    <col min="13826" max="13826" width="17" style="107" bestFit="1" customWidth="1"/>
    <col min="13827" max="13827" width="20.7265625" style="107" bestFit="1" customWidth="1"/>
    <col min="13828" max="13828" width="12.26953125" style="107" bestFit="1" customWidth="1"/>
    <col min="13829" max="13829" width="25.7265625" style="107" bestFit="1" customWidth="1"/>
    <col min="13830" max="13830" width="24.7265625" style="107" bestFit="1" customWidth="1"/>
    <col min="13831" max="13831" width="25.7265625" style="107" bestFit="1" customWidth="1"/>
    <col min="13832" max="13832" width="23.81640625" style="107" bestFit="1" customWidth="1"/>
    <col min="13833" max="13833" width="25.7265625" style="107" bestFit="1" customWidth="1"/>
    <col min="13834" max="13834" width="26" style="107" customWidth="1"/>
    <col min="13835" max="13835" width="25.7265625" style="107" bestFit="1" customWidth="1"/>
    <col min="13836" max="13836" width="26" style="107" customWidth="1"/>
    <col min="13837" max="13837" width="25.7265625" style="107" bestFit="1" customWidth="1"/>
    <col min="13838" max="13838" width="25.54296875" style="107" bestFit="1" customWidth="1"/>
    <col min="13839" max="13839" width="25.7265625" style="107" bestFit="1" customWidth="1"/>
    <col min="13840" max="13840" width="25.54296875" style="107" bestFit="1" customWidth="1"/>
    <col min="13841" max="13841" width="25.7265625" style="107" bestFit="1" customWidth="1"/>
    <col min="13842" max="13842" width="24.81640625" style="107" bestFit="1" customWidth="1"/>
    <col min="13843" max="13843" width="23.7265625" style="107" bestFit="1" customWidth="1"/>
    <col min="13844" max="13844" width="24.81640625" style="107" bestFit="1" customWidth="1"/>
    <col min="13845" max="13845" width="23.7265625" style="107" bestFit="1" customWidth="1"/>
    <col min="13846" max="13846" width="24.81640625" style="107" bestFit="1" customWidth="1"/>
    <col min="13847" max="13852" width="25.7265625" style="107" bestFit="1" customWidth="1"/>
    <col min="13853" max="13859" width="22.81640625" style="107" bestFit="1" customWidth="1"/>
    <col min="13860" max="13860" width="23.1796875" style="107" bestFit="1" customWidth="1"/>
    <col min="13861" max="13861" width="22.81640625" style="107" bestFit="1" customWidth="1"/>
    <col min="13862" max="13862" width="23.1796875" style="107" bestFit="1" customWidth="1"/>
    <col min="13863" max="13863" width="22.81640625" style="107" bestFit="1" customWidth="1"/>
    <col min="13864" max="13864" width="23.1796875" style="107" bestFit="1" customWidth="1"/>
    <col min="13865" max="13865" width="23.54296875" style="107" bestFit="1" customWidth="1"/>
    <col min="13866" max="13866" width="24.81640625" style="107" bestFit="1" customWidth="1"/>
    <col min="13867" max="13867" width="23.54296875" style="107" bestFit="1" customWidth="1"/>
    <col min="13868" max="13868" width="24.81640625" style="107" bestFit="1" customWidth="1"/>
    <col min="13869" max="13869" width="23.54296875" style="107" bestFit="1" customWidth="1"/>
    <col min="13870" max="13870" width="24.81640625" style="107" bestFit="1" customWidth="1"/>
    <col min="13871" max="13872" width="22.81640625" style="107" bestFit="1" customWidth="1"/>
    <col min="13873" max="13873" width="25" style="107" bestFit="1" customWidth="1"/>
    <col min="13874" max="13874" width="22.81640625" style="107" bestFit="1" customWidth="1"/>
    <col min="13875" max="13875" width="25" style="107" bestFit="1" customWidth="1"/>
    <col min="13876" max="13876" width="22.81640625" style="107" bestFit="1" customWidth="1"/>
    <col min="13877" max="13877" width="25" style="107" bestFit="1" customWidth="1"/>
    <col min="13878" max="13878" width="22.26953125" style="107" bestFit="1" customWidth="1"/>
    <col min="13879" max="13879" width="20.81640625" style="107" bestFit="1" customWidth="1"/>
    <col min="13880" max="13880" width="22.26953125" style="107" bestFit="1" customWidth="1"/>
    <col min="13881" max="13881" width="20.81640625" style="107" bestFit="1" customWidth="1"/>
    <col min="13882" max="13882" width="22.26953125" style="107" bestFit="1" customWidth="1"/>
    <col min="13883" max="13883" width="20.81640625" style="107" bestFit="1" customWidth="1"/>
    <col min="13884" max="13884" width="22.26953125" style="107" bestFit="1" customWidth="1"/>
    <col min="13885" max="13885" width="22" style="107" bestFit="1" customWidth="1"/>
    <col min="13886" max="13886" width="22.26953125" style="107" bestFit="1" customWidth="1"/>
    <col min="13887" max="13887" width="22.7265625" style="107" bestFit="1" customWidth="1"/>
    <col min="13888" max="13888" width="23.81640625" style="107" bestFit="1" customWidth="1"/>
    <col min="13889" max="13889" width="25" style="107" bestFit="1" customWidth="1"/>
    <col min="13890" max="13890" width="23.453125" style="107" bestFit="1" customWidth="1"/>
    <col min="13891" max="13891" width="25" style="107" bestFit="1" customWidth="1"/>
    <col min="13892" max="13892" width="22.26953125" style="107" bestFit="1" customWidth="1"/>
    <col min="13893" max="13893" width="26" style="107" customWidth="1"/>
    <col min="13894" max="13894" width="22.26953125" style="107" bestFit="1" customWidth="1"/>
    <col min="13895" max="13895" width="19.54296875" style="107" bestFit="1" customWidth="1"/>
    <col min="13896" max="13896" width="22.26953125" style="107" bestFit="1" customWidth="1"/>
    <col min="13897" max="13897" width="26" style="107" customWidth="1"/>
    <col min="13898" max="13898" width="23.54296875" style="107" bestFit="1" customWidth="1"/>
    <col min="13899" max="13900" width="23.7265625" style="107" bestFit="1" customWidth="1"/>
    <col min="13901" max="13901" width="25.81640625" style="107" bestFit="1" customWidth="1"/>
    <col min="13902" max="13903" width="25.7265625" style="107" bestFit="1" customWidth="1"/>
    <col min="13904" max="13905" width="23.7265625" style="107" bestFit="1" customWidth="1"/>
    <col min="13906" max="13906" width="23.54296875" style="107" bestFit="1" customWidth="1"/>
    <col min="13907" max="13907" width="25.54296875" style="107" bestFit="1" customWidth="1"/>
    <col min="13908" max="13908" width="23.54296875" style="107" bestFit="1" customWidth="1"/>
    <col min="13909" max="13909" width="23.453125" style="107" bestFit="1" customWidth="1"/>
    <col min="13910" max="13911" width="24.453125" style="107" bestFit="1" customWidth="1"/>
    <col min="13912" max="13912" width="22.7265625" style="107" bestFit="1" customWidth="1"/>
    <col min="13913" max="13913" width="24" style="107" bestFit="1" customWidth="1"/>
    <col min="13914" max="13914" width="22.1796875" style="107" bestFit="1" customWidth="1"/>
    <col min="13915" max="13915" width="18.7265625" style="107" bestFit="1" customWidth="1"/>
    <col min="13916" max="13916" width="14.54296875" style="107" bestFit="1" customWidth="1"/>
    <col min="13917" max="13917" width="22.54296875" style="107" bestFit="1" customWidth="1"/>
    <col min="13918" max="13918" width="23.453125" style="107" bestFit="1" customWidth="1"/>
    <col min="13919" max="14080" width="26" style="107"/>
    <col min="14081" max="14081" width="34.7265625" style="107" customWidth="1"/>
    <col min="14082" max="14082" width="17" style="107" bestFit="1" customWidth="1"/>
    <col min="14083" max="14083" width="20.7265625" style="107" bestFit="1" customWidth="1"/>
    <col min="14084" max="14084" width="12.26953125" style="107" bestFit="1" customWidth="1"/>
    <col min="14085" max="14085" width="25.7265625" style="107" bestFit="1" customWidth="1"/>
    <col min="14086" max="14086" width="24.7265625" style="107" bestFit="1" customWidth="1"/>
    <col min="14087" max="14087" width="25.7265625" style="107" bestFit="1" customWidth="1"/>
    <col min="14088" max="14088" width="23.81640625" style="107" bestFit="1" customWidth="1"/>
    <col min="14089" max="14089" width="25.7265625" style="107" bestFit="1" customWidth="1"/>
    <col min="14090" max="14090" width="26" style="107" customWidth="1"/>
    <col min="14091" max="14091" width="25.7265625" style="107" bestFit="1" customWidth="1"/>
    <col min="14092" max="14092" width="26" style="107" customWidth="1"/>
    <col min="14093" max="14093" width="25.7265625" style="107" bestFit="1" customWidth="1"/>
    <col min="14094" max="14094" width="25.54296875" style="107" bestFit="1" customWidth="1"/>
    <col min="14095" max="14095" width="25.7265625" style="107" bestFit="1" customWidth="1"/>
    <col min="14096" max="14096" width="25.54296875" style="107" bestFit="1" customWidth="1"/>
    <col min="14097" max="14097" width="25.7265625" style="107" bestFit="1" customWidth="1"/>
    <col min="14098" max="14098" width="24.81640625" style="107" bestFit="1" customWidth="1"/>
    <col min="14099" max="14099" width="23.7265625" style="107" bestFit="1" customWidth="1"/>
    <col min="14100" max="14100" width="24.81640625" style="107" bestFit="1" customWidth="1"/>
    <col min="14101" max="14101" width="23.7265625" style="107" bestFit="1" customWidth="1"/>
    <col min="14102" max="14102" width="24.81640625" style="107" bestFit="1" customWidth="1"/>
    <col min="14103" max="14108" width="25.7265625" style="107" bestFit="1" customWidth="1"/>
    <col min="14109" max="14115" width="22.81640625" style="107" bestFit="1" customWidth="1"/>
    <col min="14116" max="14116" width="23.1796875" style="107" bestFit="1" customWidth="1"/>
    <col min="14117" max="14117" width="22.81640625" style="107" bestFit="1" customWidth="1"/>
    <col min="14118" max="14118" width="23.1796875" style="107" bestFit="1" customWidth="1"/>
    <col min="14119" max="14119" width="22.81640625" style="107" bestFit="1" customWidth="1"/>
    <col min="14120" max="14120" width="23.1796875" style="107" bestFit="1" customWidth="1"/>
    <col min="14121" max="14121" width="23.54296875" style="107" bestFit="1" customWidth="1"/>
    <col min="14122" max="14122" width="24.81640625" style="107" bestFit="1" customWidth="1"/>
    <col min="14123" max="14123" width="23.54296875" style="107" bestFit="1" customWidth="1"/>
    <col min="14124" max="14124" width="24.81640625" style="107" bestFit="1" customWidth="1"/>
    <col min="14125" max="14125" width="23.54296875" style="107" bestFit="1" customWidth="1"/>
    <col min="14126" max="14126" width="24.81640625" style="107" bestFit="1" customWidth="1"/>
    <col min="14127" max="14128" width="22.81640625" style="107" bestFit="1" customWidth="1"/>
    <col min="14129" max="14129" width="25" style="107" bestFit="1" customWidth="1"/>
    <col min="14130" max="14130" width="22.81640625" style="107" bestFit="1" customWidth="1"/>
    <col min="14131" max="14131" width="25" style="107" bestFit="1" customWidth="1"/>
    <col min="14132" max="14132" width="22.81640625" style="107" bestFit="1" customWidth="1"/>
    <col min="14133" max="14133" width="25" style="107" bestFit="1" customWidth="1"/>
    <col min="14134" max="14134" width="22.26953125" style="107" bestFit="1" customWidth="1"/>
    <col min="14135" max="14135" width="20.81640625" style="107" bestFit="1" customWidth="1"/>
    <col min="14136" max="14136" width="22.26953125" style="107" bestFit="1" customWidth="1"/>
    <col min="14137" max="14137" width="20.81640625" style="107" bestFit="1" customWidth="1"/>
    <col min="14138" max="14138" width="22.26953125" style="107" bestFit="1" customWidth="1"/>
    <col min="14139" max="14139" width="20.81640625" style="107" bestFit="1" customWidth="1"/>
    <col min="14140" max="14140" width="22.26953125" style="107" bestFit="1" customWidth="1"/>
    <col min="14141" max="14141" width="22" style="107" bestFit="1" customWidth="1"/>
    <col min="14142" max="14142" width="22.26953125" style="107" bestFit="1" customWidth="1"/>
    <col min="14143" max="14143" width="22.7265625" style="107" bestFit="1" customWidth="1"/>
    <col min="14144" max="14144" width="23.81640625" style="107" bestFit="1" customWidth="1"/>
    <col min="14145" max="14145" width="25" style="107" bestFit="1" customWidth="1"/>
    <col min="14146" max="14146" width="23.453125" style="107" bestFit="1" customWidth="1"/>
    <col min="14147" max="14147" width="25" style="107" bestFit="1" customWidth="1"/>
    <col min="14148" max="14148" width="22.26953125" style="107" bestFit="1" customWidth="1"/>
    <col min="14149" max="14149" width="26" style="107" customWidth="1"/>
    <col min="14150" max="14150" width="22.26953125" style="107" bestFit="1" customWidth="1"/>
    <col min="14151" max="14151" width="19.54296875" style="107" bestFit="1" customWidth="1"/>
    <col min="14152" max="14152" width="22.26953125" style="107" bestFit="1" customWidth="1"/>
    <col min="14153" max="14153" width="26" style="107" customWidth="1"/>
    <col min="14154" max="14154" width="23.54296875" style="107" bestFit="1" customWidth="1"/>
    <col min="14155" max="14156" width="23.7265625" style="107" bestFit="1" customWidth="1"/>
    <col min="14157" max="14157" width="25.81640625" style="107" bestFit="1" customWidth="1"/>
    <col min="14158" max="14159" width="25.7265625" style="107" bestFit="1" customWidth="1"/>
    <col min="14160" max="14161" width="23.7265625" style="107" bestFit="1" customWidth="1"/>
    <col min="14162" max="14162" width="23.54296875" style="107" bestFit="1" customWidth="1"/>
    <col min="14163" max="14163" width="25.54296875" style="107" bestFit="1" customWidth="1"/>
    <col min="14164" max="14164" width="23.54296875" style="107" bestFit="1" customWidth="1"/>
    <col min="14165" max="14165" width="23.453125" style="107" bestFit="1" customWidth="1"/>
    <col min="14166" max="14167" width="24.453125" style="107" bestFit="1" customWidth="1"/>
    <col min="14168" max="14168" width="22.7265625" style="107" bestFit="1" customWidth="1"/>
    <col min="14169" max="14169" width="24" style="107" bestFit="1" customWidth="1"/>
    <col min="14170" max="14170" width="22.1796875" style="107" bestFit="1" customWidth="1"/>
    <col min="14171" max="14171" width="18.7265625" style="107" bestFit="1" customWidth="1"/>
    <col min="14172" max="14172" width="14.54296875" style="107" bestFit="1" customWidth="1"/>
    <col min="14173" max="14173" width="22.54296875" style="107" bestFit="1" customWidth="1"/>
    <col min="14174" max="14174" width="23.453125" style="107" bestFit="1" customWidth="1"/>
    <col min="14175" max="14336" width="26" style="107"/>
    <col min="14337" max="14337" width="34.7265625" style="107" customWidth="1"/>
    <col min="14338" max="14338" width="17" style="107" bestFit="1" customWidth="1"/>
    <col min="14339" max="14339" width="20.7265625" style="107" bestFit="1" customWidth="1"/>
    <col min="14340" max="14340" width="12.26953125" style="107" bestFit="1" customWidth="1"/>
    <col min="14341" max="14341" width="25.7265625" style="107" bestFit="1" customWidth="1"/>
    <col min="14342" max="14342" width="24.7265625" style="107" bestFit="1" customWidth="1"/>
    <col min="14343" max="14343" width="25.7265625" style="107" bestFit="1" customWidth="1"/>
    <col min="14344" max="14344" width="23.81640625" style="107" bestFit="1" customWidth="1"/>
    <col min="14345" max="14345" width="25.7265625" style="107" bestFit="1" customWidth="1"/>
    <col min="14346" max="14346" width="26" style="107" customWidth="1"/>
    <col min="14347" max="14347" width="25.7265625" style="107" bestFit="1" customWidth="1"/>
    <col min="14348" max="14348" width="26" style="107" customWidth="1"/>
    <col min="14349" max="14349" width="25.7265625" style="107" bestFit="1" customWidth="1"/>
    <col min="14350" max="14350" width="25.54296875" style="107" bestFit="1" customWidth="1"/>
    <col min="14351" max="14351" width="25.7265625" style="107" bestFit="1" customWidth="1"/>
    <col min="14352" max="14352" width="25.54296875" style="107" bestFit="1" customWidth="1"/>
    <col min="14353" max="14353" width="25.7265625" style="107" bestFit="1" customWidth="1"/>
    <col min="14354" max="14354" width="24.81640625" style="107" bestFit="1" customWidth="1"/>
    <col min="14355" max="14355" width="23.7265625" style="107" bestFit="1" customWidth="1"/>
    <col min="14356" max="14356" width="24.81640625" style="107" bestFit="1" customWidth="1"/>
    <col min="14357" max="14357" width="23.7265625" style="107" bestFit="1" customWidth="1"/>
    <col min="14358" max="14358" width="24.81640625" style="107" bestFit="1" customWidth="1"/>
    <col min="14359" max="14364" width="25.7265625" style="107" bestFit="1" customWidth="1"/>
    <col min="14365" max="14371" width="22.81640625" style="107" bestFit="1" customWidth="1"/>
    <col min="14372" max="14372" width="23.1796875" style="107" bestFit="1" customWidth="1"/>
    <col min="14373" max="14373" width="22.81640625" style="107" bestFit="1" customWidth="1"/>
    <col min="14374" max="14374" width="23.1796875" style="107" bestFit="1" customWidth="1"/>
    <col min="14375" max="14375" width="22.81640625" style="107" bestFit="1" customWidth="1"/>
    <col min="14376" max="14376" width="23.1796875" style="107" bestFit="1" customWidth="1"/>
    <col min="14377" max="14377" width="23.54296875" style="107" bestFit="1" customWidth="1"/>
    <col min="14378" max="14378" width="24.81640625" style="107" bestFit="1" customWidth="1"/>
    <col min="14379" max="14379" width="23.54296875" style="107" bestFit="1" customWidth="1"/>
    <col min="14380" max="14380" width="24.81640625" style="107" bestFit="1" customWidth="1"/>
    <col min="14381" max="14381" width="23.54296875" style="107" bestFit="1" customWidth="1"/>
    <col min="14382" max="14382" width="24.81640625" style="107" bestFit="1" customWidth="1"/>
    <col min="14383" max="14384" width="22.81640625" style="107" bestFit="1" customWidth="1"/>
    <col min="14385" max="14385" width="25" style="107" bestFit="1" customWidth="1"/>
    <col min="14386" max="14386" width="22.81640625" style="107" bestFit="1" customWidth="1"/>
    <col min="14387" max="14387" width="25" style="107" bestFit="1" customWidth="1"/>
    <col min="14388" max="14388" width="22.81640625" style="107" bestFit="1" customWidth="1"/>
    <col min="14389" max="14389" width="25" style="107" bestFit="1" customWidth="1"/>
    <col min="14390" max="14390" width="22.26953125" style="107" bestFit="1" customWidth="1"/>
    <col min="14391" max="14391" width="20.81640625" style="107" bestFit="1" customWidth="1"/>
    <col min="14392" max="14392" width="22.26953125" style="107" bestFit="1" customWidth="1"/>
    <col min="14393" max="14393" width="20.81640625" style="107" bestFit="1" customWidth="1"/>
    <col min="14394" max="14394" width="22.26953125" style="107" bestFit="1" customWidth="1"/>
    <col min="14395" max="14395" width="20.81640625" style="107" bestFit="1" customWidth="1"/>
    <col min="14396" max="14396" width="22.26953125" style="107" bestFit="1" customWidth="1"/>
    <col min="14397" max="14397" width="22" style="107" bestFit="1" customWidth="1"/>
    <col min="14398" max="14398" width="22.26953125" style="107" bestFit="1" customWidth="1"/>
    <col min="14399" max="14399" width="22.7265625" style="107" bestFit="1" customWidth="1"/>
    <col min="14400" max="14400" width="23.81640625" style="107" bestFit="1" customWidth="1"/>
    <col min="14401" max="14401" width="25" style="107" bestFit="1" customWidth="1"/>
    <col min="14402" max="14402" width="23.453125" style="107" bestFit="1" customWidth="1"/>
    <col min="14403" max="14403" width="25" style="107" bestFit="1" customWidth="1"/>
    <col min="14404" max="14404" width="22.26953125" style="107" bestFit="1" customWidth="1"/>
    <col min="14405" max="14405" width="26" style="107" customWidth="1"/>
    <col min="14406" max="14406" width="22.26953125" style="107" bestFit="1" customWidth="1"/>
    <col min="14407" max="14407" width="19.54296875" style="107" bestFit="1" customWidth="1"/>
    <col min="14408" max="14408" width="22.26953125" style="107" bestFit="1" customWidth="1"/>
    <col min="14409" max="14409" width="26" style="107" customWidth="1"/>
    <col min="14410" max="14410" width="23.54296875" style="107" bestFit="1" customWidth="1"/>
    <col min="14411" max="14412" width="23.7265625" style="107" bestFit="1" customWidth="1"/>
    <col min="14413" max="14413" width="25.81640625" style="107" bestFit="1" customWidth="1"/>
    <col min="14414" max="14415" width="25.7265625" style="107" bestFit="1" customWidth="1"/>
    <col min="14416" max="14417" width="23.7265625" style="107" bestFit="1" customWidth="1"/>
    <col min="14418" max="14418" width="23.54296875" style="107" bestFit="1" customWidth="1"/>
    <col min="14419" max="14419" width="25.54296875" style="107" bestFit="1" customWidth="1"/>
    <col min="14420" max="14420" width="23.54296875" style="107" bestFit="1" customWidth="1"/>
    <col min="14421" max="14421" width="23.453125" style="107" bestFit="1" customWidth="1"/>
    <col min="14422" max="14423" width="24.453125" style="107" bestFit="1" customWidth="1"/>
    <col min="14424" max="14424" width="22.7265625" style="107" bestFit="1" customWidth="1"/>
    <col min="14425" max="14425" width="24" style="107" bestFit="1" customWidth="1"/>
    <col min="14426" max="14426" width="22.1796875" style="107" bestFit="1" customWidth="1"/>
    <col min="14427" max="14427" width="18.7265625" style="107" bestFit="1" customWidth="1"/>
    <col min="14428" max="14428" width="14.54296875" style="107" bestFit="1" customWidth="1"/>
    <col min="14429" max="14429" width="22.54296875" style="107" bestFit="1" customWidth="1"/>
    <col min="14430" max="14430" width="23.453125" style="107" bestFit="1" customWidth="1"/>
    <col min="14431" max="14592" width="26" style="107"/>
    <col min="14593" max="14593" width="34.7265625" style="107" customWidth="1"/>
    <col min="14594" max="14594" width="17" style="107" bestFit="1" customWidth="1"/>
    <col min="14595" max="14595" width="20.7265625" style="107" bestFit="1" customWidth="1"/>
    <col min="14596" max="14596" width="12.26953125" style="107" bestFit="1" customWidth="1"/>
    <col min="14597" max="14597" width="25.7265625" style="107" bestFit="1" customWidth="1"/>
    <col min="14598" max="14598" width="24.7265625" style="107" bestFit="1" customWidth="1"/>
    <col min="14599" max="14599" width="25.7265625" style="107" bestFit="1" customWidth="1"/>
    <col min="14600" max="14600" width="23.81640625" style="107" bestFit="1" customWidth="1"/>
    <col min="14601" max="14601" width="25.7265625" style="107" bestFit="1" customWidth="1"/>
    <col min="14602" max="14602" width="26" style="107" customWidth="1"/>
    <col min="14603" max="14603" width="25.7265625" style="107" bestFit="1" customWidth="1"/>
    <col min="14604" max="14604" width="26" style="107" customWidth="1"/>
    <col min="14605" max="14605" width="25.7265625" style="107" bestFit="1" customWidth="1"/>
    <col min="14606" max="14606" width="25.54296875" style="107" bestFit="1" customWidth="1"/>
    <col min="14607" max="14607" width="25.7265625" style="107" bestFit="1" customWidth="1"/>
    <col min="14608" max="14608" width="25.54296875" style="107" bestFit="1" customWidth="1"/>
    <col min="14609" max="14609" width="25.7265625" style="107" bestFit="1" customWidth="1"/>
    <col min="14610" max="14610" width="24.81640625" style="107" bestFit="1" customWidth="1"/>
    <col min="14611" max="14611" width="23.7265625" style="107" bestFit="1" customWidth="1"/>
    <col min="14612" max="14612" width="24.81640625" style="107" bestFit="1" customWidth="1"/>
    <col min="14613" max="14613" width="23.7265625" style="107" bestFit="1" customWidth="1"/>
    <col min="14614" max="14614" width="24.81640625" style="107" bestFit="1" customWidth="1"/>
    <col min="14615" max="14620" width="25.7265625" style="107" bestFit="1" customWidth="1"/>
    <col min="14621" max="14627" width="22.81640625" style="107" bestFit="1" customWidth="1"/>
    <col min="14628" max="14628" width="23.1796875" style="107" bestFit="1" customWidth="1"/>
    <col min="14629" max="14629" width="22.81640625" style="107" bestFit="1" customWidth="1"/>
    <col min="14630" max="14630" width="23.1796875" style="107" bestFit="1" customWidth="1"/>
    <col min="14631" max="14631" width="22.81640625" style="107" bestFit="1" customWidth="1"/>
    <col min="14632" max="14632" width="23.1796875" style="107" bestFit="1" customWidth="1"/>
    <col min="14633" max="14633" width="23.54296875" style="107" bestFit="1" customWidth="1"/>
    <col min="14634" max="14634" width="24.81640625" style="107" bestFit="1" customWidth="1"/>
    <col min="14635" max="14635" width="23.54296875" style="107" bestFit="1" customWidth="1"/>
    <col min="14636" max="14636" width="24.81640625" style="107" bestFit="1" customWidth="1"/>
    <col min="14637" max="14637" width="23.54296875" style="107" bestFit="1" customWidth="1"/>
    <col min="14638" max="14638" width="24.81640625" style="107" bestFit="1" customWidth="1"/>
    <col min="14639" max="14640" width="22.81640625" style="107" bestFit="1" customWidth="1"/>
    <col min="14641" max="14641" width="25" style="107" bestFit="1" customWidth="1"/>
    <col min="14642" max="14642" width="22.81640625" style="107" bestFit="1" customWidth="1"/>
    <col min="14643" max="14643" width="25" style="107" bestFit="1" customWidth="1"/>
    <col min="14644" max="14644" width="22.81640625" style="107" bestFit="1" customWidth="1"/>
    <col min="14645" max="14645" width="25" style="107" bestFit="1" customWidth="1"/>
    <col min="14646" max="14646" width="22.26953125" style="107" bestFit="1" customWidth="1"/>
    <col min="14647" max="14647" width="20.81640625" style="107" bestFit="1" customWidth="1"/>
    <col min="14648" max="14648" width="22.26953125" style="107" bestFit="1" customWidth="1"/>
    <col min="14649" max="14649" width="20.81640625" style="107" bestFit="1" customWidth="1"/>
    <col min="14650" max="14650" width="22.26953125" style="107" bestFit="1" customWidth="1"/>
    <col min="14651" max="14651" width="20.81640625" style="107" bestFit="1" customWidth="1"/>
    <col min="14652" max="14652" width="22.26953125" style="107" bestFit="1" customWidth="1"/>
    <col min="14653" max="14653" width="22" style="107" bestFit="1" customWidth="1"/>
    <col min="14654" max="14654" width="22.26953125" style="107" bestFit="1" customWidth="1"/>
    <col min="14655" max="14655" width="22.7265625" style="107" bestFit="1" customWidth="1"/>
    <col min="14656" max="14656" width="23.81640625" style="107" bestFit="1" customWidth="1"/>
    <col min="14657" max="14657" width="25" style="107" bestFit="1" customWidth="1"/>
    <col min="14658" max="14658" width="23.453125" style="107" bestFit="1" customWidth="1"/>
    <col min="14659" max="14659" width="25" style="107" bestFit="1" customWidth="1"/>
    <col min="14660" max="14660" width="22.26953125" style="107" bestFit="1" customWidth="1"/>
    <col min="14661" max="14661" width="26" style="107" customWidth="1"/>
    <col min="14662" max="14662" width="22.26953125" style="107" bestFit="1" customWidth="1"/>
    <col min="14663" max="14663" width="19.54296875" style="107" bestFit="1" customWidth="1"/>
    <col min="14664" max="14664" width="22.26953125" style="107" bestFit="1" customWidth="1"/>
    <col min="14665" max="14665" width="26" style="107" customWidth="1"/>
    <col min="14666" max="14666" width="23.54296875" style="107" bestFit="1" customWidth="1"/>
    <col min="14667" max="14668" width="23.7265625" style="107" bestFit="1" customWidth="1"/>
    <col min="14669" max="14669" width="25.81640625" style="107" bestFit="1" customWidth="1"/>
    <col min="14670" max="14671" width="25.7265625" style="107" bestFit="1" customWidth="1"/>
    <col min="14672" max="14673" width="23.7265625" style="107" bestFit="1" customWidth="1"/>
    <col min="14674" max="14674" width="23.54296875" style="107" bestFit="1" customWidth="1"/>
    <col min="14675" max="14675" width="25.54296875" style="107" bestFit="1" customWidth="1"/>
    <col min="14676" max="14676" width="23.54296875" style="107" bestFit="1" customWidth="1"/>
    <col min="14677" max="14677" width="23.453125" style="107" bestFit="1" customWidth="1"/>
    <col min="14678" max="14679" width="24.453125" style="107" bestFit="1" customWidth="1"/>
    <col min="14680" max="14680" width="22.7265625" style="107" bestFit="1" customWidth="1"/>
    <col min="14681" max="14681" width="24" style="107" bestFit="1" customWidth="1"/>
    <col min="14682" max="14682" width="22.1796875" style="107" bestFit="1" customWidth="1"/>
    <col min="14683" max="14683" width="18.7265625" style="107" bestFit="1" customWidth="1"/>
    <col min="14684" max="14684" width="14.54296875" style="107" bestFit="1" customWidth="1"/>
    <col min="14685" max="14685" width="22.54296875" style="107" bestFit="1" customWidth="1"/>
    <col min="14686" max="14686" width="23.453125" style="107" bestFit="1" customWidth="1"/>
    <col min="14687" max="14848" width="26" style="107"/>
    <col min="14849" max="14849" width="34.7265625" style="107" customWidth="1"/>
    <col min="14850" max="14850" width="17" style="107" bestFit="1" customWidth="1"/>
    <col min="14851" max="14851" width="20.7265625" style="107" bestFit="1" customWidth="1"/>
    <col min="14852" max="14852" width="12.26953125" style="107" bestFit="1" customWidth="1"/>
    <col min="14853" max="14853" width="25.7265625" style="107" bestFit="1" customWidth="1"/>
    <col min="14854" max="14854" width="24.7265625" style="107" bestFit="1" customWidth="1"/>
    <col min="14855" max="14855" width="25.7265625" style="107" bestFit="1" customWidth="1"/>
    <col min="14856" max="14856" width="23.81640625" style="107" bestFit="1" customWidth="1"/>
    <col min="14857" max="14857" width="25.7265625" style="107" bestFit="1" customWidth="1"/>
    <col min="14858" max="14858" width="26" style="107" customWidth="1"/>
    <col min="14859" max="14859" width="25.7265625" style="107" bestFit="1" customWidth="1"/>
    <col min="14860" max="14860" width="26" style="107" customWidth="1"/>
    <col min="14861" max="14861" width="25.7265625" style="107" bestFit="1" customWidth="1"/>
    <col min="14862" max="14862" width="25.54296875" style="107" bestFit="1" customWidth="1"/>
    <col min="14863" max="14863" width="25.7265625" style="107" bestFit="1" customWidth="1"/>
    <col min="14864" max="14864" width="25.54296875" style="107" bestFit="1" customWidth="1"/>
    <col min="14865" max="14865" width="25.7265625" style="107" bestFit="1" customWidth="1"/>
    <col min="14866" max="14866" width="24.81640625" style="107" bestFit="1" customWidth="1"/>
    <col min="14867" max="14867" width="23.7265625" style="107" bestFit="1" customWidth="1"/>
    <col min="14868" max="14868" width="24.81640625" style="107" bestFit="1" customWidth="1"/>
    <col min="14869" max="14869" width="23.7265625" style="107" bestFit="1" customWidth="1"/>
    <col min="14870" max="14870" width="24.81640625" style="107" bestFit="1" customWidth="1"/>
    <col min="14871" max="14876" width="25.7265625" style="107" bestFit="1" customWidth="1"/>
    <col min="14877" max="14883" width="22.81640625" style="107" bestFit="1" customWidth="1"/>
    <col min="14884" max="14884" width="23.1796875" style="107" bestFit="1" customWidth="1"/>
    <col min="14885" max="14885" width="22.81640625" style="107" bestFit="1" customWidth="1"/>
    <col min="14886" max="14886" width="23.1796875" style="107" bestFit="1" customWidth="1"/>
    <col min="14887" max="14887" width="22.81640625" style="107" bestFit="1" customWidth="1"/>
    <col min="14888" max="14888" width="23.1796875" style="107" bestFit="1" customWidth="1"/>
    <col min="14889" max="14889" width="23.54296875" style="107" bestFit="1" customWidth="1"/>
    <col min="14890" max="14890" width="24.81640625" style="107" bestFit="1" customWidth="1"/>
    <col min="14891" max="14891" width="23.54296875" style="107" bestFit="1" customWidth="1"/>
    <col min="14892" max="14892" width="24.81640625" style="107" bestFit="1" customWidth="1"/>
    <col min="14893" max="14893" width="23.54296875" style="107" bestFit="1" customWidth="1"/>
    <col min="14894" max="14894" width="24.81640625" style="107" bestFit="1" customWidth="1"/>
    <col min="14895" max="14896" width="22.81640625" style="107" bestFit="1" customWidth="1"/>
    <col min="14897" max="14897" width="25" style="107" bestFit="1" customWidth="1"/>
    <col min="14898" max="14898" width="22.81640625" style="107" bestFit="1" customWidth="1"/>
    <col min="14899" max="14899" width="25" style="107" bestFit="1" customWidth="1"/>
    <col min="14900" max="14900" width="22.81640625" style="107" bestFit="1" customWidth="1"/>
    <col min="14901" max="14901" width="25" style="107" bestFit="1" customWidth="1"/>
    <col min="14902" max="14902" width="22.26953125" style="107" bestFit="1" customWidth="1"/>
    <col min="14903" max="14903" width="20.81640625" style="107" bestFit="1" customWidth="1"/>
    <col min="14904" max="14904" width="22.26953125" style="107" bestFit="1" customWidth="1"/>
    <col min="14905" max="14905" width="20.81640625" style="107" bestFit="1" customWidth="1"/>
    <col min="14906" max="14906" width="22.26953125" style="107" bestFit="1" customWidth="1"/>
    <col min="14907" max="14907" width="20.81640625" style="107" bestFit="1" customWidth="1"/>
    <col min="14908" max="14908" width="22.26953125" style="107" bestFit="1" customWidth="1"/>
    <col min="14909" max="14909" width="22" style="107" bestFit="1" customWidth="1"/>
    <col min="14910" max="14910" width="22.26953125" style="107" bestFit="1" customWidth="1"/>
    <col min="14911" max="14911" width="22.7265625" style="107" bestFit="1" customWidth="1"/>
    <col min="14912" max="14912" width="23.81640625" style="107" bestFit="1" customWidth="1"/>
    <col min="14913" max="14913" width="25" style="107" bestFit="1" customWidth="1"/>
    <col min="14914" max="14914" width="23.453125" style="107" bestFit="1" customWidth="1"/>
    <col min="14915" max="14915" width="25" style="107" bestFit="1" customWidth="1"/>
    <col min="14916" max="14916" width="22.26953125" style="107" bestFit="1" customWidth="1"/>
    <col min="14917" max="14917" width="26" style="107" customWidth="1"/>
    <col min="14918" max="14918" width="22.26953125" style="107" bestFit="1" customWidth="1"/>
    <col min="14919" max="14919" width="19.54296875" style="107" bestFit="1" customWidth="1"/>
    <col min="14920" max="14920" width="22.26953125" style="107" bestFit="1" customWidth="1"/>
    <col min="14921" max="14921" width="26" style="107" customWidth="1"/>
    <col min="14922" max="14922" width="23.54296875" style="107" bestFit="1" customWidth="1"/>
    <col min="14923" max="14924" width="23.7265625" style="107" bestFit="1" customWidth="1"/>
    <col min="14925" max="14925" width="25.81640625" style="107" bestFit="1" customWidth="1"/>
    <col min="14926" max="14927" width="25.7265625" style="107" bestFit="1" customWidth="1"/>
    <col min="14928" max="14929" width="23.7265625" style="107" bestFit="1" customWidth="1"/>
    <col min="14930" max="14930" width="23.54296875" style="107" bestFit="1" customWidth="1"/>
    <col min="14931" max="14931" width="25.54296875" style="107" bestFit="1" customWidth="1"/>
    <col min="14932" max="14932" width="23.54296875" style="107" bestFit="1" customWidth="1"/>
    <col min="14933" max="14933" width="23.453125" style="107" bestFit="1" customWidth="1"/>
    <col min="14934" max="14935" width="24.453125" style="107" bestFit="1" customWidth="1"/>
    <col min="14936" max="14936" width="22.7265625" style="107" bestFit="1" customWidth="1"/>
    <col min="14937" max="14937" width="24" style="107" bestFit="1" customWidth="1"/>
    <col min="14938" max="14938" width="22.1796875" style="107" bestFit="1" customWidth="1"/>
    <col min="14939" max="14939" width="18.7265625" style="107" bestFit="1" customWidth="1"/>
    <col min="14940" max="14940" width="14.54296875" style="107" bestFit="1" customWidth="1"/>
    <col min="14941" max="14941" width="22.54296875" style="107" bestFit="1" customWidth="1"/>
    <col min="14942" max="14942" width="23.453125" style="107" bestFit="1" customWidth="1"/>
    <col min="14943" max="15104" width="26" style="107"/>
    <col min="15105" max="15105" width="34.7265625" style="107" customWidth="1"/>
    <col min="15106" max="15106" width="17" style="107" bestFit="1" customWidth="1"/>
    <col min="15107" max="15107" width="20.7265625" style="107" bestFit="1" customWidth="1"/>
    <col min="15108" max="15108" width="12.26953125" style="107" bestFit="1" customWidth="1"/>
    <col min="15109" max="15109" width="25.7265625" style="107" bestFit="1" customWidth="1"/>
    <col min="15110" max="15110" width="24.7265625" style="107" bestFit="1" customWidth="1"/>
    <col min="15111" max="15111" width="25.7265625" style="107" bestFit="1" customWidth="1"/>
    <col min="15112" max="15112" width="23.81640625" style="107" bestFit="1" customWidth="1"/>
    <col min="15113" max="15113" width="25.7265625" style="107" bestFit="1" customWidth="1"/>
    <col min="15114" max="15114" width="26" style="107" customWidth="1"/>
    <col min="15115" max="15115" width="25.7265625" style="107" bestFit="1" customWidth="1"/>
    <col min="15116" max="15116" width="26" style="107" customWidth="1"/>
    <col min="15117" max="15117" width="25.7265625" style="107" bestFit="1" customWidth="1"/>
    <col min="15118" max="15118" width="25.54296875" style="107" bestFit="1" customWidth="1"/>
    <col min="15119" max="15119" width="25.7265625" style="107" bestFit="1" customWidth="1"/>
    <col min="15120" max="15120" width="25.54296875" style="107" bestFit="1" customWidth="1"/>
    <col min="15121" max="15121" width="25.7265625" style="107" bestFit="1" customWidth="1"/>
    <col min="15122" max="15122" width="24.81640625" style="107" bestFit="1" customWidth="1"/>
    <col min="15123" max="15123" width="23.7265625" style="107" bestFit="1" customWidth="1"/>
    <col min="15124" max="15124" width="24.81640625" style="107" bestFit="1" customWidth="1"/>
    <col min="15125" max="15125" width="23.7265625" style="107" bestFit="1" customWidth="1"/>
    <col min="15126" max="15126" width="24.81640625" style="107" bestFit="1" customWidth="1"/>
    <col min="15127" max="15132" width="25.7265625" style="107" bestFit="1" customWidth="1"/>
    <col min="15133" max="15139" width="22.81640625" style="107" bestFit="1" customWidth="1"/>
    <col min="15140" max="15140" width="23.1796875" style="107" bestFit="1" customWidth="1"/>
    <col min="15141" max="15141" width="22.81640625" style="107" bestFit="1" customWidth="1"/>
    <col min="15142" max="15142" width="23.1796875" style="107" bestFit="1" customWidth="1"/>
    <col min="15143" max="15143" width="22.81640625" style="107" bestFit="1" customWidth="1"/>
    <col min="15144" max="15144" width="23.1796875" style="107" bestFit="1" customWidth="1"/>
    <col min="15145" max="15145" width="23.54296875" style="107" bestFit="1" customWidth="1"/>
    <col min="15146" max="15146" width="24.81640625" style="107" bestFit="1" customWidth="1"/>
    <col min="15147" max="15147" width="23.54296875" style="107" bestFit="1" customWidth="1"/>
    <col min="15148" max="15148" width="24.81640625" style="107" bestFit="1" customWidth="1"/>
    <col min="15149" max="15149" width="23.54296875" style="107" bestFit="1" customWidth="1"/>
    <col min="15150" max="15150" width="24.81640625" style="107" bestFit="1" customWidth="1"/>
    <col min="15151" max="15152" width="22.81640625" style="107" bestFit="1" customWidth="1"/>
    <col min="15153" max="15153" width="25" style="107" bestFit="1" customWidth="1"/>
    <col min="15154" max="15154" width="22.81640625" style="107" bestFit="1" customWidth="1"/>
    <col min="15155" max="15155" width="25" style="107" bestFit="1" customWidth="1"/>
    <col min="15156" max="15156" width="22.81640625" style="107" bestFit="1" customWidth="1"/>
    <col min="15157" max="15157" width="25" style="107" bestFit="1" customWidth="1"/>
    <col min="15158" max="15158" width="22.26953125" style="107" bestFit="1" customWidth="1"/>
    <col min="15159" max="15159" width="20.81640625" style="107" bestFit="1" customWidth="1"/>
    <col min="15160" max="15160" width="22.26953125" style="107" bestFit="1" customWidth="1"/>
    <col min="15161" max="15161" width="20.81640625" style="107" bestFit="1" customWidth="1"/>
    <col min="15162" max="15162" width="22.26953125" style="107" bestFit="1" customWidth="1"/>
    <col min="15163" max="15163" width="20.81640625" style="107" bestFit="1" customWidth="1"/>
    <col min="15164" max="15164" width="22.26953125" style="107" bestFit="1" customWidth="1"/>
    <col min="15165" max="15165" width="22" style="107" bestFit="1" customWidth="1"/>
    <col min="15166" max="15166" width="22.26953125" style="107" bestFit="1" customWidth="1"/>
    <col min="15167" max="15167" width="22.7265625" style="107" bestFit="1" customWidth="1"/>
    <col min="15168" max="15168" width="23.81640625" style="107" bestFit="1" customWidth="1"/>
    <col min="15169" max="15169" width="25" style="107" bestFit="1" customWidth="1"/>
    <col min="15170" max="15170" width="23.453125" style="107" bestFit="1" customWidth="1"/>
    <col min="15171" max="15171" width="25" style="107" bestFit="1" customWidth="1"/>
    <col min="15172" max="15172" width="22.26953125" style="107" bestFit="1" customWidth="1"/>
    <col min="15173" max="15173" width="26" style="107" customWidth="1"/>
    <col min="15174" max="15174" width="22.26953125" style="107" bestFit="1" customWidth="1"/>
    <col min="15175" max="15175" width="19.54296875" style="107" bestFit="1" customWidth="1"/>
    <col min="15176" max="15176" width="22.26953125" style="107" bestFit="1" customWidth="1"/>
    <col min="15177" max="15177" width="26" style="107" customWidth="1"/>
    <col min="15178" max="15178" width="23.54296875" style="107" bestFit="1" customWidth="1"/>
    <col min="15179" max="15180" width="23.7265625" style="107" bestFit="1" customWidth="1"/>
    <col min="15181" max="15181" width="25.81640625" style="107" bestFit="1" customWidth="1"/>
    <col min="15182" max="15183" width="25.7265625" style="107" bestFit="1" customWidth="1"/>
    <col min="15184" max="15185" width="23.7265625" style="107" bestFit="1" customWidth="1"/>
    <col min="15186" max="15186" width="23.54296875" style="107" bestFit="1" customWidth="1"/>
    <col min="15187" max="15187" width="25.54296875" style="107" bestFit="1" customWidth="1"/>
    <col min="15188" max="15188" width="23.54296875" style="107" bestFit="1" customWidth="1"/>
    <col min="15189" max="15189" width="23.453125" style="107" bestFit="1" customWidth="1"/>
    <col min="15190" max="15191" width="24.453125" style="107" bestFit="1" customWidth="1"/>
    <col min="15192" max="15192" width="22.7265625" style="107" bestFit="1" customWidth="1"/>
    <col min="15193" max="15193" width="24" style="107" bestFit="1" customWidth="1"/>
    <col min="15194" max="15194" width="22.1796875" style="107" bestFit="1" customWidth="1"/>
    <col min="15195" max="15195" width="18.7265625" style="107" bestFit="1" customWidth="1"/>
    <col min="15196" max="15196" width="14.54296875" style="107" bestFit="1" customWidth="1"/>
    <col min="15197" max="15197" width="22.54296875" style="107" bestFit="1" customWidth="1"/>
    <col min="15198" max="15198" width="23.453125" style="107" bestFit="1" customWidth="1"/>
    <col min="15199" max="15360" width="26" style="107"/>
    <col min="15361" max="15361" width="34.7265625" style="107" customWidth="1"/>
    <col min="15362" max="15362" width="17" style="107" bestFit="1" customWidth="1"/>
    <col min="15363" max="15363" width="20.7265625" style="107" bestFit="1" customWidth="1"/>
    <col min="15364" max="15364" width="12.26953125" style="107" bestFit="1" customWidth="1"/>
    <col min="15365" max="15365" width="25.7265625" style="107" bestFit="1" customWidth="1"/>
    <col min="15366" max="15366" width="24.7265625" style="107" bestFit="1" customWidth="1"/>
    <col min="15367" max="15367" width="25.7265625" style="107" bestFit="1" customWidth="1"/>
    <col min="15368" max="15368" width="23.81640625" style="107" bestFit="1" customWidth="1"/>
    <col min="15369" max="15369" width="25.7265625" style="107" bestFit="1" customWidth="1"/>
    <col min="15370" max="15370" width="26" style="107" customWidth="1"/>
    <col min="15371" max="15371" width="25.7265625" style="107" bestFit="1" customWidth="1"/>
    <col min="15372" max="15372" width="26" style="107" customWidth="1"/>
    <col min="15373" max="15373" width="25.7265625" style="107" bestFit="1" customWidth="1"/>
    <col min="15374" max="15374" width="25.54296875" style="107" bestFit="1" customWidth="1"/>
    <col min="15375" max="15375" width="25.7265625" style="107" bestFit="1" customWidth="1"/>
    <col min="15376" max="15376" width="25.54296875" style="107" bestFit="1" customWidth="1"/>
    <col min="15377" max="15377" width="25.7265625" style="107" bestFit="1" customWidth="1"/>
    <col min="15378" max="15378" width="24.81640625" style="107" bestFit="1" customWidth="1"/>
    <col min="15379" max="15379" width="23.7265625" style="107" bestFit="1" customWidth="1"/>
    <col min="15380" max="15380" width="24.81640625" style="107" bestFit="1" customWidth="1"/>
    <col min="15381" max="15381" width="23.7265625" style="107" bestFit="1" customWidth="1"/>
    <col min="15382" max="15382" width="24.81640625" style="107" bestFit="1" customWidth="1"/>
    <col min="15383" max="15388" width="25.7265625" style="107" bestFit="1" customWidth="1"/>
    <col min="15389" max="15395" width="22.81640625" style="107" bestFit="1" customWidth="1"/>
    <col min="15396" max="15396" width="23.1796875" style="107" bestFit="1" customWidth="1"/>
    <col min="15397" max="15397" width="22.81640625" style="107" bestFit="1" customWidth="1"/>
    <col min="15398" max="15398" width="23.1796875" style="107" bestFit="1" customWidth="1"/>
    <col min="15399" max="15399" width="22.81640625" style="107" bestFit="1" customWidth="1"/>
    <col min="15400" max="15400" width="23.1796875" style="107" bestFit="1" customWidth="1"/>
    <col min="15401" max="15401" width="23.54296875" style="107" bestFit="1" customWidth="1"/>
    <col min="15402" max="15402" width="24.81640625" style="107" bestFit="1" customWidth="1"/>
    <col min="15403" max="15403" width="23.54296875" style="107" bestFit="1" customWidth="1"/>
    <col min="15404" max="15404" width="24.81640625" style="107" bestFit="1" customWidth="1"/>
    <col min="15405" max="15405" width="23.54296875" style="107" bestFit="1" customWidth="1"/>
    <col min="15406" max="15406" width="24.81640625" style="107" bestFit="1" customWidth="1"/>
    <col min="15407" max="15408" width="22.81640625" style="107" bestFit="1" customWidth="1"/>
    <col min="15409" max="15409" width="25" style="107" bestFit="1" customWidth="1"/>
    <col min="15410" max="15410" width="22.81640625" style="107" bestFit="1" customWidth="1"/>
    <col min="15411" max="15411" width="25" style="107" bestFit="1" customWidth="1"/>
    <col min="15412" max="15412" width="22.81640625" style="107" bestFit="1" customWidth="1"/>
    <col min="15413" max="15413" width="25" style="107" bestFit="1" customWidth="1"/>
    <col min="15414" max="15414" width="22.26953125" style="107" bestFit="1" customWidth="1"/>
    <col min="15415" max="15415" width="20.81640625" style="107" bestFit="1" customWidth="1"/>
    <col min="15416" max="15416" width="22.26953125" style="107" bestFit="1" customWidth="1"/>
    <col min="15417" max="15417" width="20.81640625" style="107" bestFit="1" customWidth="1"/>
    <col min="15418" max="15418" width="22.26953125" style="107" bestFit="1" customWidth="1"/>
    <col min="15419" max="15419" width="20.81640625" style="107" bestFit="1" customWidth="1"/>
    <col min="15420" max="15420" width="22.26953125" style="107" bestFit="1" customWidth="1"/>
    <col min="15421" max="15421" width="22" style="107" bestFit="1" customWidth="1"/>
    <col min="15422" max="15422" width="22.26953125" style="107" bestFit="1" customWidth="1"/>
    <col min="15423" max="15423" width="22.7265625" style="107" bestFit="1" customWidth="1"/>
    <col min="15424" max="15424" width="23.81640625" style="107" bestFit="1" customWidth="1"/>
    <col min="15425" max="15425" width="25" style="107" bestFit="1" customWidth="1"/>
    <col min="15426" max="15426" width="23.453125" style="107" bestFit="1" customWidth="1"/>
    <col min="15427" max="15427" width="25" style="107" bestFit="1" customWidth="1"/>
    <col min="15428" max="15428" width="22.26953125" style="107" bestFit="1" customWidth="1"/>
    <col min="15429" max="15429" width="26" style="107" customWidth="1"/>
    <col min="15430" max="15430" width="22.26953125" style="107" bestFit="1" customWidth="1"/>
    <col min="15431" max="15431" width="19.54296875" style="107" bestFit="1" customWidth="1"/>
    <col min="15432" max="15432" width="22.26953125" style="107" bestFit="1" customWidth="1"/>
    <col min="15433" max="15433" width="26" style="107" customWidth="1"/>
    <col min="15434" max="15434" width="23.54296875" style="107" bestFit="1" customWidth="1"/>
    <col min="15435" max="15436" width="23.7265625" style="107" bestFit="1" customWidth="1"/>
    <col min="15437" max="15437" width="25.81640625" style="107" bestFit="1" customWidth="1"/>
    <col min="15438" max="15439" width="25.7265625" style="107" bestFit="1" customWidth="1"/>
    <col min="15440" max="15441" width="23.7265625" style="107" bestFit="1" customWidth="1"/>
    <col min="15442" max="15442" width="23.54296875" style="107" bestFit="1" customWidth="1"/>
    <col min="15443" max="15443" width="25.54296875" style="107" bestFit="1" customWidth="1"/>
    <col min="15444" max="15444" width="23.54296875" style="107" bestFit="1" customWidth="1"/>
    <col min="15445" max="15445" width="23.453125" style="107" bestFit="1" customWidth="1"/>
    <col min="15446" max="15447" width="24.453125" style="107" bestFit="1" customWidth="1"/>
    <col min="15448" max="15448" width="22.7265625" style="107" bestFit="1" customWidth="1"/>
    <col min="15449" max="15449" width="24" style="107" bestFit="1" customWidth="1"/>
    <col min="15450" max="15450" width="22.1796875" style="107" bestFit="1" customWidth="1"/>
    <col min="15451" max="15451" width="18.7265625" style="107" bestFit="1" customWidth="1"/>
    <col min="15452" max="15452" width="14.54296875" style="107" bestFit="1" customWidth="1"/>
    <col min="15453" max="15453" width="22.54296875" style="107" bestFit="1" customWidth="1"/>
    <col min="15454" max="15454" width="23.453125" style="107" bestFit="1" customWidth="1"/>
    <col min="15455" max="15616" width="26" style="107"/>
    <col min="15617" max="15617" width="34.7265625" style="107" customWidth="1"/>
    <col min="15618" max="15618" width="17" style="107" bestFit="1" customWidth="1"/>
    <col min="15619" max="15619" width="20.7265625" style="107" bestFit="1" customWidth="1"/>
    <col min="15620" max="15620" width="12.26953125" style="107" bestFit="1" customWidth="1"/>
    <col min="15621" max="15621" width="25.7265625" style="107" bestFit="1" customWidth="1"/>
    <col min="15622" max="15622" width="24.7265625" style="107" bestFit="1" customWidth="1"/>
    <col min="15623" max="15623" width="25.7265625" style="107" bestFit="1" customWidth="1"/>
    <col min="15624" max="15624" width="23.81640625" style="107" bestFit="1" customWidth="1"/>
    <col min="15625" max="15625" width="25.7265625" style="107" bestFit="1" customWidth="1"/>
    <col min="15626" max="15626" width="26" style="107" customWidth="1"/>
    <col min="15627" max="15627" width="25.7265625" style="107" bestFit="1" customWidth="1"/>
    <col min="15628" max="15628" width="26" style="107" customWidth="1"/>
    <col min="15629" max="15629" width="25.7265625" style="107" bestFit="1" customWidth="1"/>
    <col min="15630" max="15630" width="25.54296875" style="107" bestFit="1" customWidth="1"/>
    <col min="15631" max="15631" width="25.7265625" style="107" bestFit="1" customWidth="1"/>
    <col min="15632" max="15632" width="25.54296875" style="107" bestFit="1" customWidth="1"/>
    <col min="15633" max="15633" width="25.7265625" style="107" bestFit="1" customWidth="1"/>
    <col min="15634" max="15634" width="24.81640625" style="107" bestFit="1" customWidth="1"/>
    <col min="15635" max="15635" width="23.7265625" style="107" bestFit="1" customWidth="1"/>
    <col min="15636" max="15636" width="24.81640625" style="107" bestFit="1" customWidth="1"/>
    <col min="15637" max="15637" width="23.7265625" style="107" bestFit="1" customWidth="1"/>
    <col min="15638" max="15638" width="24.81640625" style="107" bestFit="1" customWidth="1"/>
    <col min="15639" max="15644" width="25.7265625" style="107" bestFit="1" customWidth="1"/>
    <col min="15645" max="15651" width="22.81640625" style="107" bestFit="1" customWidth="1"/>
    <col min="15652" max="15652" width="23.1796875" style="107" bestFit="1" customWidth="1"/>
    <col min="15653" max="15653" width="22.81640625" style="107" bestFit="1" customWidth="1"/>
    <col min="15654" max="15654" width="23.1796875" style="107" bestFit="1" customWidth="1"/>
    <col min="15655" max="15655" width="22.81640625" style="107" bestFit="1" customWidth="1"/>
    <col min="15656" max="15656" width="23.1796875" style="107" bestFit="1" customWidth="1"/>
    <col min="15657" max="15657" width="23.54296875" style="107" bestFit="1" customWidth="1"/>
    <col min="15658" max="15658" width="24.81640625" style="107" bestFit="1" customWidth="1"/>
    <col min="15659" max="15659" width="23.54296875" style="107" bestFit="1" customWidth="1"/>
    <col min="15660" max="15660" width="24.81640625" style="107" bestFit="1" customWidth="1"/>
    <col min="15661" max="15661" width="23.54296875" style="107" bestFit="1" customWidth="1"/>
    <col min="15662" max="15662" width="24.81640625" style="107" bestFit="1" customWidth="1"/>
    <col min="15663" max="15664" width="22.81640625" style="107" bestFit="1" customWidth="1"/>
    <col min="15665" max="15665" width="25" style="107" bestFit="1" customWidth="1"/>
    <col min="15666" max="15666" width="22.81640625" style="107" bestFit="1" customWidth="1"/>
    <col min="15667" max="15667" width="25" style="107" bestFit="1" customWidth="1"/>
    <col min="15668" max="15668" width="22.81640625" style="107" bestFit="1" customWidth="1"/>
    <col min="15669" max="15669" width="25" style="107" bestFit="1" customWidth="1"/>
    <col min="15670" max="15670" width="22.26953125" style="107" bestFit="1" customWidth="1"/>
    <col min="15671" max="15671" width="20.81640625" style="107" bestFit="1" customWidth="1"/>
    <col min="15672" max="15672" width="22.26953125" style="107" bestFit="1" customWidth="1"/>
    <col min="15673" max="15673" width="20.81640625" style="107" bestFit="1" customWidth="1"/>
    <col min="15674" max="15674" width="22.26953125" style="107" bestFit="1" customWidth="1"/>
    <col min="15675" max="15675" width="20.81640625" style="107" bestFit="1" customWidth="1"/>
    <col min="15676" max="15676" width="22.26953125" style="107" bestFit="1" customWidth="1"/>
    <col min="15677" max="15677" width="22" style="107" bestFit="1" customWidth="1"/>
    <col min="15678" max="15678" width="22.26953125" style="107" bestFit="1" customWidth="1"/>
    <col min="15679" max="15679" width="22.7265625" style="107" bestFit="1" customWidth="1"/>
    <col min="15680" max="15680" width="23.81640625" style="107" bestFit="1" customWidth="1"/>
    <col min="15681" max="15681" width="25" style="107" bestFit="1" customWidth="1"/>
    <col min="15682" max="15682" width="23.453125" style="107" bestFit="1" customWidth="1"/>
    <col min="15683" max="15683" width="25" style="107" bestFit="1" customWidth="1"/>
    <col min="15684" max="15684" width="22.26953125" style="107" bestFit="1" customWidth="1"/>
    <col min="15685" max="15685" width="26" style="107" customWidth="1"/>
    <col min="15686" max="15686" width="22.26953125" style="107" bestFit="1" customWidth="1"/>
    <col min="15687" max="15687" width="19.54296875" style="107" bestFit="1" customWidth="1"/>
    <col min="15688" max="15688" width="22.26953125" style="107" bestFit="1" customWidth="1"/>
    <col min="15689" max="15689" width="26" style="107" customWidth="1"/>
    <col min="15690" max="15690" width="23.54296875" style="107" bestFit="1" customWidth="1"/>
    <col min="15691" max="15692" width="23.7265625" style="107" bestFit="1" customWidth="1"/>
    <col min="15693" max="15693" width="25.81640625" style="107" bestFit="1" customWidth="1"/>
    <col min="15694" max="15695" width="25.7265625" style="107" bestFit="1" customWidth="1"/>
    <col min="15696" max="15697" width="23.7265625" style="107" bestFit="1" customWidth="1"/>
    <col min="15698" max="15698" width="23.54296875" style="107" bestFit="1" customWidth="1"/>
    <col min="15699" max="15699" width="25.54296875" style="107" bestFit="1" customWidth="1"/>
    <col min="15700" max="15700" width="23.54296875" style="107" bestFit="1" customWidth="1"/>
    <col min="15701" max="15701" width="23.453125" style="107" bestFit="1" customWidth="1"/>
    <col min="15702" max="15703" width="24.453125" style="107" bestFit="1" customWidth="1"/>
    <col min="15704" max="15704" width="22.7265625" style="107" bestFit="1" customWidth="1"/>
    <col min="15705" max="15705" width="24" style="107" bestFit="1" customWidth="1"/>
    <col min="15706" max="15706" width="22.1796875" style="107" bestFit="1" customWidth="1"/>
    <col min="15707" max="15707" width="18.7265625" style="107" bestFit="1" customWidth="1"/>
    <col min="15708" max="15708" width="14.54296875" style="107" bestFit="1" customWidth="1"/>
    <col min="15709" max="15709" width="22.54296875" style="107" bestFit="1" customWidth="1"/>
    <col min="15710" max="15710" width="23.453125" style="107" bestFit="1" customWidth="1"/>
    <col min="15711" max="15872" width="26" style="107"/>
    <col min="15873" max="15873" width="34.7265625" style="107" customWidth="1"/>
    <col min="15874" max="15874" width="17" style="107" bestFit="1" customWidth="1"/>
    <col min="15875" max="15875" width="20.7265625" style="107" bestFit="1" customWidth="1"/>
    <col min="15876" max="15876" width="12.26953125" style="107" bestFit="1" customWidth="1"/>
    <col min="15877" max="15877" width="25.7265625" style="107" bestFit="1" customWidth="1"/>
    <col min="15878" max="15878" width="24.7265625" style="107" bestFit="1" customWidth="1"/>
    <col min="15879" max="15879" width="25.7265625" style="107" bestFit="1" customWidth="1"/>
    <col min="15880" max="15880" width="23.81640625" style="107" bestFit="1" customWidth="1"/>
    <col min="15881" max="15881" width="25.7265625" style="107" bestFit="1" customWidth="1"/>
    <col min="15882" max="15882" width="26" style="107" customWidth="1"/>
    <col min="15883" max="15883" width="25.7265625" style="107" bestFit="1" customWidth="1"/>
    <col min="15884" max="15884" width="26" style="107" customWidth="1"/>
    <col min="15885" max="15885" width="25.7265625" style="107" bestFit="1" customWidth="1"/>
    <col min="15886" max="15886" width="25.54296875" style="107" bestFit="1" customWidth="1"/>
    <col min="15887" max="15887" width="25.7265625" style="107" bestFit="1" customWidth="1"/>
    <col min="15888" max="15888" width="25.54296875" style="107" bestFit="1" customWidth="1"/>
    <col min="15889" max="15889" width="25.7265625" style="107" bestFit="1" customWidth="1"/>
    <col min="15890" max="15890" width="24.81640625" style="107" bestFit="1" customWidth="1"/>
    <col min="15891" max="15891" width="23.7265625" style="107" bestFit="1" customWidth="1"/>
    <col min="15892" max="15892" width="24.81640625" style="107" bestFit="1" customWidth="1"/>
    <col min="15893" max="15893" width="23.7265625" style="107" bestFit="1" customWidth="1"/>
    <col min="15894" max="15894" width="24.81640625" style="107" bestFit="1" customWidth="1"/>
    <col min="15895" max="15900" width="25.7265625" style="107" bestFit="1" customWidth="1"/>
    <col min="15901" max="15907" width="22.81640625" style="107" bestFit="1" customWidth="1"/>
    <col min="15908" max="15908" width="23.1796875" style="107" bestFit="1" customWidth="1"/>
    <col min="15909" max="15909" width="22.81640625" style="107" bestFit="1" customWidth="1"/>
    <col min="15910" max="15910" width="23.1796875" style="107" bestFit="1" customWidth="1"/>
    <col min="15911" max="15911" width="22.81640625" style="107" bestFit="1" customWidth="1"/>
    <col min="15912" max="15912" width="23.1796875" style="107" bestFit="1" customWidth="1"/>
    <col min="15913" max="15913" width="23.54296875" style="107" bestFit="1" customWidth="1"/>
    <col min="15914" max="15914" width="24.81640625" style="107" bestFit="1" customWidth="1"/>
    <col min="15915" max="15915" width="23.54296875" style="107" bestFit="1" customWidth="1"/>
    <col min="15916" max="15916" width="24.81640625" style="107" bestFit="1" customWidth="1"/>
    <col min="15917" max="15917" width="23.54296875" style="107" bestFit="1" customWidth="1"/>
    <col min="15918" max="15918" width="24.81640625" style="107" bestFit="1" customWidth="1"/>
    <col min="15919" max="15920" width="22.81640625" style="107" bestFit="1" customWidth="1"/>
    <col min="15921" max="15921" width="25" style="107" bestFit="1" customWidth="1"/>
    <col min="15922" max="15922" width="22.81640625" style="107" bestFit="1" customWidth="1"/>
    <col min="15923" max="15923" width="25" style="107" bestFit="1" customWidth="1"/>
    <col min="15924" max="15924" width="22.81640625" style="107" bestFit="1" customWidth="1"/>
    <col min="15925" max="15925" width="25" style="107" bestFit="1" customWidth="1"/>
    <col min="15926" max="15926" width="22.26953125" style="107" bestFit="1" customWidth="1"/>
    <col min="15927" max="15927" width="20.81640625" style="107" bestFit="1" customWidth="1"/>
    <col min="15928" max="15928" width="22.26953125" style="107" bestFit="1" customWidth="1"/>
    <col min="15929" max="15929" width="20.81640625" style="107" bestFit="1" customWidth="1"/>
    <col min="15930" max="15930" width="22.26953125" style="107" bestFit="1" customWidth="1"/>
    <col min="15931" max="15931" width="20.81640625" style="107" bestFit="1" customWidth="1"/>
    <col min="15932" max="15932" width="22.26953125" style="107" bestFit="1" customWidth="1"/>
    <col min="15933" max="15933" width="22" style="107" bestFit="1" customWidth="1"/>
    <col min="15934" max="15934" width="22.26953125" style="107" bestFit="1" customWidth="1"/>
    <col min="15935" max="15935" width="22.7265625" style="107" bestFit="1" customWidth="1"/>
    <col min="15936" max="15936" width="23.81640625" style="107" bestFit="1" customWidth="1"/>
    <col min="15937" max="15937" width="25" style="107" bestFit="1" customWidth="1"/>
    <col min="15938" max="15938" width="23.453125" style="107" bestFit="1" customWidth="1"/>
    <col min="15939" max="15939" width="25" style="107" bestFit="1" customWidth="1"/>
    <col min="15940" max="15940" width="22.26953125" style="107" bestFit="1" customWidth="1"/>
    <col min="15941" max="15941" width="26" style="107" customWidth="1"/>
    <col min="15942" max="15942" width="22.26953125" style="107" bestFit="1" customWidth="1"/>
    <col min="15943" max="15943" width="19.54296875" style="107" bestFit="1" customWidth="1"/>
    <col min="15944" max="15944" width="22.26953125" style="107" bestFit="1" customWidth="1"/>
    <col min="15945" max="15945" width="26" style="107" customWidth="1"/>
    <col min="15946" max="15946" width="23.54296875" style="107" bestFit="1" customWidth="1"/>
    <col min="15947" max="15948" width="23.7265625" style="107" bestFit="1" customWidth="1"/>
    <col min="15949" max="15949" width="25.81640625" style="107" bestFit="1" customWidth="1"/>
    <col min="15950" max="15951" width="25.7265625" style="107" bestFit="1" customWidth="1"/>
    <col min="15952" max="15953" width="23.7265625" style="107" bestFit="1" customWidth="1"/>
    <col min="15954" max="15954" width="23.54296875" style="107" bestFit="1" customWidth="1"/>
    <col min="15955" max="15955" width="25.54296875" style="107" bestFit="1" customWidth="1"/>
    <col min="15956" max="15956" width="23.54296875" style="107" bestFit="1" customWidth="1"/>
    <col min="15957" max="15957" width="23.453125" style="107" bestFit="1" customWidth="1"/>
    <col min="15958" max="15959" width="24.453125" style="107" bestFit="1" customWidth="1"/>
    <col min="15960" max="15960" width="22.7265625" style="107" bestFit="1" customWidth="1"/>
    <col min="15961" max="15961" width="24" style="107" bestFit="1" customWidth="1"/>
    <col min="15962" max="15962" width="22.1796875" style="107" bestFit="1" customWidth="1"/>
    <col min="15963" max="15963" width="18.7265625" style="107" bestFit="1" customWidth="1"/>
    <col min="15964" max="15964" width="14.54296875" style="107" bestFit="1" customWidth="1"/>
    <col min="15965" max="15965" width="22.54296875" style="107" bestFit="1" customWidth="1"/>
    <col min="15966" max="15966" width="23.453125" style="107" bestFit="1" customWidth="1"/>
    <col min="15967" max="16128" width="26" style="107"/>
    <col min="16129" max="16129" width="34.7265625" style="107" customWidth="1"/>
    <col min="16130" max="16130" width="17" style="107" bestFit="1" customWidth="1"/>
    <col min="16131" max="16131" width="20.7265625" style="107" bestFit="1" customWidth="1"/>
    <col min="16132" max="16132" width="12.26953125" style="107" bestFit="1" customWidth="1"/>
    <col min="16133" max="16133" width="25.7265625" style="107" bestFit="1" customWidth="1"/>
    <col min="16134" max="16134" width="24.7265625" style="107" bestFit="1" customWidth="1"/>
    <col min="16135" max="16135" width="25.7265625" style="107" bestFit="1" customWidth="1"/>
    <col min="16136" max="16136" width="23.81640625" style="107" bestFit="1" customWidth="1"/>
    <col min="16137" max="16137" width="25.7265625" style="107" bestFit="1" customWidth="1"/>
    <col min="16138" max="16138" width="26" style="107" customWidth="1"/>
    <col min="16139" max="16139" width="25.7265625" style="107" bestFit="1" customWidth="1"/>
    <col min="16140" max="16140" width="26" style="107" customWidth="1"/>
    <col min="16141" max="16141" width="25.7265625" style="107" bestFit="1" customWidth="1"/>
    <col min="16142" max="16142" width="25.54296875" style="107" bestFit="1" customWidth="1"/>
    <col min="16143" max="16143" width="25.7265625" style="107" bestFit="1" customWidth="1"/>
    <col min="16144" max="16144" width="25.54296875" style="107" bestFit="1" customWidth="1"/>
    <col min="16145" max="16145" width="25.7265625" style="107" bestFit="1" customWidth="1"/>
    <col min="16146" max="16146" width="24.81640625" style="107" bestFit="1" customWidth="1"/>
    <col min="16147" max="16147" width="23.7265625" style="107" bestFit="1" customWidth="1"/>
    <col min="16148" max="16148" width="24.81640625" style="107" bestFit="1" customWidth="1"/>
    <col min="16149" max="16149" width="23.7265625" style="107" bestFit="1" customWidth="1"/>
    <col min="16150" max="16150" width="24.81640625" style="107" bestFit="1" customWidth="1"/>
    <col min="16151" max="16156" width="25.7265625" style="107" bestFit="1" customWidth="1"/>
    <col min="16157" max="16163" width="22.81640625" style="107" bestFit="1" customWidth="1"/>
    <col min="16164" max="16164" width="23.1796875" style="107" bestFit="1" customWidth="1"/>
    <col min="16165" max="16165" width="22.81640625" style="107" bestFit="1" customWidth="1"/>
    <col min="16166" max="16166" width="23.1796875" style="107" bestFit="1" customWidth="1"/>
    <col min="16167" max="16167" width="22.81640625" style="107" bestFit="1" customWidth="1"/>
    <col min="16168" max="16168" width="23.1796875" style="107" bestFit="1" customWidth="1"/>
    <col min="16169" max="16169" width="23.54296875" style="107" bestFit="1" customWidth="1"/>
    <col min="16170" max="16170" width="24.81640625" style="107" bestFit="1" customWidth="1"/>
    <col min="16171" max="16171" width="23.54296875" style="107" bestFit="1" customWidth="1"/>
    <col min="16172" max="16172" width="24.81640625" style="107" bestFit="1" customWidth="1"/>
    <col min="16173" max="16173" width="23.54296875" style="107" bestFit="1" customWidth="1"/>
    <col min="16174" max="16174" width="24.81640625" style="107" bestFit="1" customWidth="1"/>
    <col min="16175" max="16176" width="22.81640625" style="107" bestFit="1" customWidth="1"/>
    <col min="16177" max="16177" width="25" style="107" bestFit="1" customWidth="1"/>
    <col min="16178" max="16178" width="22.81640625" style="107" bestFit="1" customWidth="1"/>
    <col min="16179" max="16179" width="25" style="107" bestFit="1" customWidth="1"/>
    <col min="16180" max="16180" width="22.81640625" style="107" bestFit="1" customWidth="1"/>
    <col min="16181" max="16181" width="25" style="107" bestFit="1" customWidth="1"/>
    <col min="16182" max="16182" width="22.26953125" style="107" bestFit="1" customWidth="1"/>
    <col min="16183" max="16183" width="20.81640625" style="107" bestFit="1" customWidth="1"/>
    <col min="16184" max="16184" width="22.26953125" style="107" bestFit="1" customWidth="1"/>
    <col min="16185" max="16185" width="20.81640625" style="107" bestFit="1" customWidth="1"/>
    <col min="16186" max="16186" width="22.26953125" style="107" bestFit="1" customWidth="1"/>
    <col min="16187" max="16187" width="20.81640625" style="107" bestFit="1" customWidth="1"/>
    <col min="16188" max="16188" width="22.26953125" style="107" bestFit="1" customWidth="1"/>
    <col min="16189" max="16189" width="22" style="107" bestFit="1" customWidth="1"/>
    <col min="16190" max="16190" width="22.26953125" style="107" bestFit="1" customWidth="1"/>
    <col min="16191" max="16191" width="22.7265625" style="107" bestFit="1" customWidth="1"/>
    <col min="16192" max="16192" width="23.81640625" style="107" bestFit="1" customWidth="1"/>
    <col min="16193" max="16193" width="25" style="107" bestFit="1" customWidth="1"/>
    <col min="16194" max="16194" width="23.453125" style="107" bestFit="1" customWidth="1"/>
    <col min="16195" max="16195" width="25" style="107" bestFit="1" customWidth="1"/>
    <col min="16196" max="16196" width="22.26953125" style="107" bestFit="1" customWidth="1"/>
    <col min="16197" max="16197" width="26" style="107" customWidth="1"/>
    <col min="16198" max="16198" width="22.26953125" style="107" bestFit="1" customWidth="1"/>
    <col min="16199" max="16199" width="19.54296875" style="107" bestFit="1" customWidth="1"/>
    <col min="16200" max="16200" width="22.26953125" style="107" bestFit="1" customWidth="1"/>
    <col min="16201" max="16201" width="26" style="107" customWidth="1"/>
    <col min="16202" max="16202" width="23.54296875" style="107" bestFit="1" customWidth="1"/>
    <col min="16203" max="16204" width="23.7265625" style="107" bestFit="1" customWidth="1"/>
    <col min="16205" max="16205" width="25.81640625" style="107" bestFit="1" customWidth="1"/>
    <col min="16206" max="16207" width="25.7265625" style="107" bestFit="1" customWidth="1"/>
    <col min="16208" max="16209" width="23.7265625" style="107" bestFit="1" customWidth="1"/>
    <col min="16210" max="16210" width="23.54296875" style="107" bestFit="1" customWidth="1"/>
    <col min="16211" max="16211" width="25.54296875" style="107" bestFit="1" customWidth="1"/>
    <col min="16212" max="16212" width="23.54296875" style="107" bestFit="1" customWidth="1"/>
    <col min="16213" max="16213" width="23.453125" style="107" bestFit="1" customWidth="1"/>
    <col min="16214" max="16215" width="24.453125" style="107" bestFit="1" customWidth="1"/>
    <col min="16216" max="16216" width="22.7265625" style="107" bestFit="1" customWidth="1"/>
    <col min="16217" max="16217" width="24" style="107" bestFit="1" customWidth="1"/>
    <col min="16218" max="16218" width="22.1796875" style="107" bestFit="1" customWidth="1"/>
    <col min="16219" max="16219" width="18.7265625" style="107" bestFit="1" customWidth="1"/>
    <col min="16220" max="16220" width="14.54296875" style="107" bestFit="1" customWidth="1"/>
    <col min="16221" max="16221" width="22.54296875" style="107" bestFit="1" customWidth="1"/>
    <col min="16222" max="16222" width="23.453125" style="107" bestFit="1" customWidth="1"/>
    <col min="16223" max="16384" width="26" style="107"/>
  </cols>
  <sheetData>
    <row r="1" spans="1:106" x14ac:dyDescent="0.35">
      <c r="A1" s="142" t="s">
        <v>732</v>
      </c>
      <c r="B1" s="142"/>
      <c r="C1" s="142"/>
      <c r="D1" s="142"/>
      <c r="E1" s="142"/>
      <c r="F1" s="142"/>
      <c r="G1" s="142"/>
      <c r="H1" s="142"/>
      <c r="I1" s="142"/>
      <c r="J1" s="142"/>
    </row>
    <row r="2" spans="1:106" x14ac:dyDescent="0.35">
      <c r="A2" s="142"/>
      <c r="B2" s="142"/>
      <c r="C2" s="142"/>
      <c r="D2" s="142"/>
      <c r="E2" s="142"/>
      <c r="F2" s="142"/>
      <c r="G2" s="142"/>
      <c r="H2" s="142"/>
      <c r="I2" s="142"/>
      <c r="J2" s="142"/>
    </row>
    <row r="4" spans="1:106" ht="15" x14ac:dyDescent="0.35">
      <c r="A4" s="121" t="s">
        <v>395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</row>
    <row r="5" spans="1:106" ht="45" customHeight="1" x14ac:dyDescent="0.35">
      <c r="A5" s="108" t="s">
        <v>311</v>
      </c>
      <c r="B5" s="109" t="s">
        <v>215</v>
      </c>
      <c r="C5" s="109" t="s">
        <v>216</v>
      </c>
      <c r="D5" s="109" t="s">
        <v>217</v>
      </c>
      <c r="E5" s="109" t="s">
        <v>396</v>
      </c>
      <c r="F5" s="109" t="s">
        <v>397</v>
      </c>
      <c r="G5" s="109" t="s">
        <v>398</v>
      </c>
      <c r="H5" s="109" t="s">
        <v>399</v>
      </c>
      <c r="I5" s="109" t="s">
        <v>400</v>
      </c>
      <c r="J5" s="110" t="s">
        <v>301</v>
      </c>
      <c r="K5" s="110" t="s">
        <v>302</v>
      </c>
      <c r="L5" s="110" t="s">
        <v>303</v>
      </c>
      <c r="M5" s="110" t="s">
        <v>304</v>
      </c>
      <c r="N5" s="109" t="s">
        <v>305</v>
      </c>
      <c r="O5" s="109" t="s">
        <v>306</v>
      </c>
      <c r="P5" s="109" t="s">
        <v>307</v>
      </c>
      <c r="Q5" s="109" t="s">
        <v>308</v>
      </c>
      <c r="R5" s="109" t="s">
        <v>309</v>
      </c>
      <c r="S5" s="109" t="s">
        <v>310</v>
      </c>
    </row>
    <row r="6" spans="1:106" x14ac:dyDescent="0.35">
      <c r="A6" s="122"/>
      <c r="B6" s="111"/>
      <c r="C6" s="111"/>
      <c r="D6" s="111"/>
      <c r="E6" s="111"/>
      <c r="F6" s="111"/>
      <c r="G6" s="111"/>
      <c r="H6" s="111"/>
      <c r="I6" s="111"/>
      <c r="J6" s="112"/>
      <c r="K6" s="112"/>
      <c r="L6" s="112"/>
      <c r="M6" s="112"/>
      <c r="N6" s="111"/>
      <c r="O6" s="111"/>
      <c r="P6" s="111"/>
      <c r="Q6" s="111"/>
      <c r="R6" s="111"/>
      <c r="S6" s="111"/>
    </row>
    <row r="7" spans="1:106" ht="15" x14ac:dyDescent="0.35">
      <c r="A7" s="121" t="s">
        <v>401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13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</row>
    <row r="8" spans="1:106" ht="34.5" customHeight="1" x14ac:dyDescent="0.35">
      <c r="A8" s="108" t="s">
        <v>214</v>
      </c>
      <c r="B8" s="109" t="s">
        <v>215</v>
      </c>
      <c r="C8" s="109" t="s">
        <v>216</v>
      </c>
      <c r="D8" s="109" t="s">
        <v>217</v>
      </c>
      <c r="E8" s="114" t="s">
        <v>218</v>
      </c>
      <c r="F8" s="114" t="s">
        <v>219</v>
      </c>
      <c r="G8" s="109" t="s">
        <v>99</v>
      </c>
      <c r="H8" s="109" t="s">
        <v>100</v>
      </c>
      <c r="I8" s="109" t="s">
        <v>101</v>
      </c>
      <c r="J8" s="109" t="s">
        <v>102</v>
      </c>
      <c r="K8" s="109" t="s">
        <v>103</v>
      </c>
      <c r="L8" s="109" t="s">
        <v>104</v>
      </c>
      <c r="M8" s="109" t="s">
        <v>105</v>
      </c>
      <c r="N8" s="109" t="s">
        <v>106</v>
      </c>
      <c r="O8" s="109" t="s">
        <v>107</v>
      </c>
      <c r="P8" s="109" t="s">
        <v>108</v>
      </c>
      <c r="Q8" s="109" t="s">
        <v>109</v>
      </c>
      <c r="R8" s="109" t="s">
        <v>110</v>
      </c>
      <c r="S8" s="109" t="s">
        <v>111</v>
      </c>
      <c r="T8" s="109" t="s">
        <v>112</v>
      </c>
      <c r="U8" s="109" t="s">
        <v>113</v>
      </c>
      <c r="V8" s="115" t="s">
        <v>114</v>
      </c>
      <c r="W8" s="109" t="s">
        <v>115</v>
      </c>
      <c r="X8" s="109" t="s">
        <v>116</v>
      </c>
      <c r="Y8" s="109" t="s">
        <v>117</v>
      </c>
      <c r="Z8" s="109" t="s">
        <v>118</v>
      </c>
      <c r="AA8" s="109" t="s">
        <v>119</v>
      </c>
      <c r="AB8" s="109" t="s">
        <v>120</v>
      </c>
      <c r="AC8" s="109" t="s">
        <v>121</v>
      </c>
      <c r="AD8" s="109" t="s">
        <v>122</v>
      </c>
      <c r="AE8" s="109" t="s">
        <v>123</v>
      </c>
      <c r="AF8" s="109" t="s">
        <v>124</v>
      </c>
      <c r="AG8" s="109" t="s">
        <v>125</v>
      </c>
      <c r="AH8" s="109" t="s">
        <v>126</v>
      </c>
      <c r="AI8" s="109" t="s">
        <v>127</v>
      </c>
      <c r="AJ8" s="109" t="s">
        <v>128</v>
      </c>
      <c r="AK8" s="109" t="s">
        <v>129</v>
      </c>
      <c r="AL8" s="109" t="s">
        <v>130</v>
      </c>
      <c r="AM8" s="109" t="s">
        <v>131</v>
      </c>
      <c r="AN8" s="109" t="s">
        <v>132</v>
      </c>
      <c r="AO8" s="109" t="s">
        <v>133</v>
      </c>
      <c r="AP8" s="109" t="s">
        <v>134</v>
      </c>
      <c r="AQ8" s="109" t="s">
        <v>135</v>
      </c>
      <c r="AR8" s="109" t="s">
        <v>136</v>
      </c>
      <c r="AS8" s="109" t="s">
        <v>137</v>
      </c>
      <c r="AT8" s="109" t="s">
        <v>138</v>
      </c>
      <c r="AU8" s="109" t="s">
        <v>139</v>
      </c>
      <c r="AV8" s="109" t="s">
        <v>140</v>
      </c>
      <c r="AW8" s="109" t="s">
        <v>141</v>
      </c>
      <c r="AX8" s="109" t="s">
        <v>142</v>
      </c>
      <c r="AY8" s="109" t="s">
        <v>143</v>
      </c>
      <c r="AZ8" s="109" t="s">
        <v>144</v>
      </c>
      <c r="BA8" s="109" t="s">
        <v>145</v>
      </c>
      <c r="BB8" s="109" t="s">
        <v>146</v>
      </c>
      <c r="BC8" s="109" t="s">
        <v>147</v>
      </c>
      <c r="BD8" s="109" t="s">
        <v>148</v>
      </c>
      <c r="BE8" s="109" t="s">
        <v>149</v>
      </c>
      <c r="BF8" s="109" t="s">
        <v>150</v>
      </c>
      <c r="BG8" s="109" t="s">
        <v>151</v>
      </c>
      <c r="BH8" s="109" t="s">
        <v>152</v>
      </c>
      <c r="BI8" s="109" t="s">
        <v>153</v>
      </c>
      <c r="BJ8" s="109" t="s">
        <v>154</v>
      </c>
      <c r="BK8" s="109" t="s">
        <v>155</v>
      </c>
      <c r="BL8" s="109" t="s">
        <v>156</v>
      </c>
      <c r="BM8" s="109" t="s">
        <v>157</v>
      </c>
      <c r="BN8" s="109" t="s">
        <v>158</v>
      </c>
      <c r="BO8" s="109" t="s">
        <v>159</v>
      </c>
      <c r="BP8" s="109" t="s">
        <v>160</v>
      </c>
      <c r="BQ8" s="109" t="s">
        <v>161</v>
      </c>
      <c r="BR8" s="109" t="s">
        <v>162</v>
      </c>
      <c r="BS8" s="109" t="s">
        <v>163</v>
      </c>
      <c r="BT8" s="109" t="s">
        <v>164</v>
      </c>
      <c r="BU8" s="109" t="s">
        <v>165</v>
      </c>
      <c r="BV8" s="109" t="s">
        <v>166</v>
      </c>
      <c r="BW8" s="109" t="s">
        <v>167</v>
      </c>
      <c r="BX8" s="109" t="s">
        <v>168</v>
      </c>
      <c r="BY8" s="109" t="s">
        <v>169</v>
      </c>
      <c r="BZ8" s="109" t="s">
        <v>170</v>
      </c>
      <c r="CA8" s="109" t="s">
        <v>171</v>
      </c>
      <c r="CB8" s="109" t="s">
        <v>172</v>
      </c>
      <c r="CC8" s="109" t="s">
        <v>173</v>
      </c>
      <c r="CD8" s="109" t="s">
        <v>174</v>
      </c>
      <c r="CE8" s="109" t="s">
        <v>175</v>
      </c>
      <c r="CF8" s="109" t="s">
        <v>176</v>
      </c>
      <c r="CG8" s="109" t="s">
        <v>177</v>
      </c>
      <c r="CH8" s="109" t="s">
        <v>178</v>
      </c>
      <c r="CI8" s="109" t="s">
        <v>179</v>
      </c>
      <c r="CJ8" s="109" t="s">
        <v>180</v>
      </c>
      <c r="CK8" s="109" t="s">
        <v>181</v>
      </c>
      <c r="CL8" s="109" t="s">
        <v>182</v>
      </c>
      <c r="CM8" s="109" t="s">
        <v>183</v>
      </c>
      <c r="CN8" s="109" t="s">
        <v>184</v>
      </c>
      <c r="CO8" s="109" t="s">
        <v>185</v>
      </c>
      <c r="CP8" s="109" t="s">
        <v>186</v>
      </c>
      <c r="CQ8" s="109" t="s">
        <v>187</v>
      </c>
      <c r="CR8" s="109" t="s">
        <v>188</v>
      </c>
      <c r="CS8" s="109" t="s">
        <v>189</v>
      </c>
      <c r="CT8" s="109" t="s">
        <v>190</v>
      </c>
      <c r="CU8" s="109" t="s">
        <v>191</v>
      </c>
      <c r="CV8" s="109" t="s">
        <v>192</v>
      </c>
      <c r="CW8" s="109" t="s">
        <v>193</v>
      </c>
      <c r="CX8" s="109" t="s">
        <v>194</v>
      </c>
      <c r="CY8" s="109" t="s">
        <v>195</v>
      </c>
      <c r="CZ8" s="109" t="s">
        <v>196</v>
      </c>
      <c r="DA8" s="109" t="s">
        <v>197</v>
      </c>
      <c r="DB8" s="109" t="s">
        <v>198</v>
      </c>
    </row>
    <row r="10" spans="1:106" ht="15" x14ac:dyDescent="0.35">
      <c r="A10" s="121" t="s">
        <v>402</v>
      </c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13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</row>
    <row r="11" spans="1:106" ht="33.75" customHeight="1" x14ac:dyDescent="0.35">
      <c r="A11" s="108" t="s">
        <v>348</v>
      </c>
      <c r="B11" s="109" t="s">
        <v>215</v>
      </c>
      <c r="C11" s="109" t="s">
        <v>216</v>
      </c>
      <c r="D11" s="109" t="s">
        <v>217</v>
      </c>
      <c r="E11" s="114" t="s">
        <v>218</v>
      </c>
      <c r="F11" s="114" t="s">
        <v>219</v>
      </c>
      <c r="G11" s="109" t="s">
        <v>99</v>
      </c>
      <c r="H11" s="109" t="s">
        <v>100</v>
      </c>
      <c r="I11" s="109" t="s">
        <v>101</v>
      </c>
      <c r="J11" s="109" t="s">
        <v>102</v>
      </c>
      <c r="K11" s="109" t="s">
        <v>103</v>
      </c>
      <c r="L11" s="109" t="s">
        <v>104</v>
      </c>
      <c r="M11" s="109" t="s">
        <v>105</v>
      </c>
      <c r="N11" s="109" t="s">
        <v>106</v>
      </c>
      <c r="O11" s="109" t="s">
        <v>107</v>
      </c>
      <c r="P11" s="109" t="s">
        <v>108</v>
      </c>
      <c r="Q11" s="109" t="s">
        <v>109</v>
      </c>
      <c r="R11" s="109" t="s">
        <v>110</v>
      </c>
      <c r="S11" s="109" t="s">
        <v>111</v>
      </c>
      <c r="T11" s="109" t="s">
        <v>112</v>
      </c>
      <c r="U11" s="109" t="s">
        <v>113</v>
      </c>
      <c r="V11" s="115" t="s">
        <v>114</v>
      </c>
      <c r="W11" s="109" t="s">
        <v>115</v>
      </c>
      <c r="X11" s="109" t="s">
        <v>116</v>
      </c>
      <c r="Y11" s="109" t="s">
        <v>117</v>
      </c>
      <c r="Z11" s="109" t="s">
        <v>118</v>
      </c>
      <c r="AA11" s="109" t="s">
        <v>119</v>
      </c>
      <c r="AB11" s="109" t="s">
        <v>120</v>
      </c>
      <c r="AC11" s="109" t="s">
        <v>121</v>
      </c>
      <c r="AD11" s="109" t="s">
        <v>122</v>
      </c>
      <c r="AE11" s="109" t="s">
        <v>123</v>
      </c>
      <c r="AF11" s="109" t="s">
        <v>124</v>
      </c>
      <c r="AG11" s="109" t="s">
        <v>125</v>
      </c>
      <c r="AH11" s="109" t="s">
        <v>126</v>
      </c>
      <c r="AI11" s="109" t="s">
        <v>127</v>
      </c>
      <c r="AJ11" s="109" t="s">
        <v>128</v>
      </c>
      <c r="AK11" s="109" t="s">
        <v>129</v>
      </c>
      <c r="AL11" s="109" t="s">
        <v>130</v>
      </c>
      <c r="AM11" s="109" t="s">
        <v>131</v>
      </c>
      <c r="AN11" s="109" t="s">
        <v>132</v>
      </c>
      <c r="AO11" s="109" t="s">
        <v>133</v>
      </c>
      <c r="AP11" s="109" t="s">
        <v>134</v>
      </c>
      <c r="AQ11" s="109" t="s">
        <v>135</v>
      </c>
      <c r="AR11" s="109" t="s">
        <v>136</v>
      </c>
      <c r="AS11" s="109" t="s">
        <v>137</v>
      </c>
      <c r="AT11" s="109" t="s">
        <v>138</v>
      </c>
      <c r="AU11" s="109" t="s">
        <v>139</v>
      </c>
      <c r="AV11" s="109" t="s">
        <v>140</v>
      </c>
      <c r="AW11" s="109" t="s">
        <v>141</v>
      </c>
      <c r="AX11" s="109" t="s">
        <v>142</v>
      </c>
      <c r="AY11" s="109" t="s">
        <v>143</v>
      </c>
      <c r="AZ11" s="109" t="s">
        <v>144</v>
      </c>
      <c r="BA11" s="109" t="s">
        <v>145</v>
      </c>
      <c r="BB11" s="109" t="s">
        <v>146</v>
      </c>
      <c r="BC11" s="109" t="s">
        <v>147</v>
      </c>
      <c r="BD11" s="109" t="s">
        <v>148</v>
      </c>
      <c r="BE11" s="109" t="s">
        <v>149</v>
      </c>
      <c r="BF11" s="109" t="s">
        <v>150</v>
      </c>
      <c r="BG11" s="109" t="s">
        <v>151</v>
      </c>
      <c r="BH11" s="109" t="s">
        <v>152</v>
      </c>
      <c r="BI11" s="109" t="s">
        <v>153</v>
      </c>
      <c r="BJ11" s="109" t="s">
        <v>154</v>
      </c>
      <c r="BK11" s="109" t="s">
        <v>155</v>
      </c>
      <c r="BL11" s="109" t="s">
        <v>156</v>
      </c>
      <c r="BM11" s="109" t="s">
        <v>157</v>
      </c>
      <c r="BN11" s="109" t="s">
        <v>158</v>
      </c>
      <c r="BO11" s="109" t="s">
        <v>159</v>
      </c>
      <c r="BP11" s="109" t="s">
        <v>160</v>
      </c>
      <c r="BQ11" s="109" t="s">
        <v>161</v>
      </c>
      <c r="BR11" s="109" t="s">
        <v>162</v>
      </c>
      <c r="BS11" s="109" t="s">
        <v>163</v>
      </c>
      <c r="BT11" s="109" t="s">
        <v>164</v>
      </c>
      <c r="BU11" s="109" t="s">
        <v>177</v>
      </c>
      <c r="BV11" s="109" t="s">
        <v>178</v>
      </c>
      <c r="BW11" s="109" t="s">
        <v>179</v>
      </c>
      <c r="BX11" s="109" t="s">
        <v>349</v>
      </c>
      <c r="BY11" s="109" t="s">
        <v>350</v>
      </c>
      <c r="BZ11" s="109" t="s">
        <v>351</v>
      </c>
      <c r="CA11" s="109" t="s">
        <v>352</v>
      </c>
      <c r="CB11" s="109" t="s">
        <v>353</v>
      </c>
      <c r="CC11" s="109" t="s">
        <v>354</v>
      </c>
      <c r="CD11" s="109" t="s">
        <v>355</v>
      </c>
      <c r="CE11" s="109" t="s">
        <v>171</v>
      </c>
      <c r="CF11" s="109" t="s">
        <v>172</v>
      </c>
      <c r="CG11" s="109" t="s">
        <v>173</v>
      </c>
      <c r="CH11" s="109" t="s">
        <v>356</v>
      </c>
      <c r="CI11" s="109" t="s">
        <v>357</v>
      </c>
      <c r="CJ11" s="109" t="s">
        <v>358</v>
      </c>
      <c r="CK11" s="109" t="s">
        <v>359</v>
      </c>
      <c r="CL11" s="109" t="s">
        <v>360</v>
      </c>
      <c r="CM11" s="109" t="s">
        <v>361</v>
      </c>
      <c r="CN11" s="109" t="s">
        <v>362</v>
      </c>
      <c r="CO11" s="109" t="s">
        <v>363</v>
      </c>
      <c r="CP11" s="109" t="s">
        <v>364</v>
      </c>
      <c r="CQ11" s="109" t="s">
        <v>365</v>
      </c>
      <c r="CR11" s="109" t="s">
        <v>366</v>
      </c>
      <c r="CS11" s="109" t="s">
        <v>197</v>
      </c>
      <c r="CT11" s="109" t="s">
        <v>198</v>
      </c>
      <c r="CU11" s="109" t="s">
        <v>367</v>
      </c>
      <c r="CV11" s="109" t="s">
        <v>368</v>
      </c>
      <c r="CW11" s="109" t="s">
        <v>369</v>
      </c>
      <c r="CX11" s="109" t="s">
        <v>370</v>
      </c>
      <c r="CY11" s="109" t="s">
        <v>371</v>
      </c>
      <c r="CZ11" s="111"/>
    </row>
    <row r="13" spans="1:106" ht="15" x14ac:dyDescent="0.35">
      <c r="A13" s="121" t="s">
        <v>403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13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</row>
    <row r="14" spans="1:106" ht="36.75" customHeight="1" x14ac:dyDescent="0.35">
      <c r="A14" s="108" t="s">
        <v>386</v>
      </c>
      <c r="B14" s="109" t="s">
        <v>215</v>
      </c>
      <c r="C14" s="109" t="s">
        <v>216</v>
      </c>
      <c r="D14" s="109" t="s">
        <v>217</v>
      </c>
      <c r="E14" s="114" t="s">
        <v>218</v>
      </c>
      <c r="F14" s="114" t="s">
        <v>219</v>
      </c>
      <c r="G14" s="109" t="s">
        <v>99</v>
      </c>
      <c r="H14" s="109" t="s">
        <v>100</v>
      </c>
      <c r="I14" s="109" t="s">
        <v>101</v>
      </c>
      <c r="J14" s="109" t="s">
        <v>102</v>
      </c>
      <c r="K14" s="109" t="s">
        <v>103</v>
      </c>
      <c r="L14" s="109" t="s">
        <v>104</v>
      </c>
      <c r="M14" s="109" t="s">
        <v>105</v>
      </c>
      <c r="N14" s="109" t="s">
        <v>106</v>
      </c>
      <c r="O14" s="109" t="s">
        <v>107</v>
      </c>
      <c r="P14" s="109" t="s">
        <v>108</v>
      </c>
      <c r="Q14" s="109" t="s">
        <v>109</v>
      </c>
      <c r="R14" s="109" t="s">
        <v>110</v>
      </c>
      <c r="S14" s="109" t="s">
        <v>111</v>
      </c>
      <c r="T14" s="109" t="s">
        <v>112</v>
      </c>
      <c r="U14" s="109" t="s">
        <v>113</v>
      </c>
      <c r="V14" s="115" t="s">
        <v>114</v>
      </c>
      <c r="W14" s="109" t="s">
        <v>115</v>
      </c>
      <c r="X14" s="109" t="s">
        <v>116</v>
      </c>
      <c r="Y14" s="109" t="s">
        <v>117</v>
      </c>
      <c r="Z14" s="109" t="s">
        <v>118</v>
      </c>
      <c r="AA14" s="109" t="s">
        <v>119</v>
      </c>
      <c r="AB14" s="109" t="s">
        <v>120</v>
      </c>
      <c r="AC14" s="109" t="s">
        <v>121</v>
      </c>
      <c r="AD14" s="109" t="s">
        <v>122</v>
      </c>
      <c r="AE14" s="109" t="s">
        <v>123</v>
      </c>
      <c r="AF14" s="109" t="s">
        <v>124</v>
      </c>
      <c r="AG14" s="109" t="s">
        <v>404</v>
      </c>
      <c r="AH14" s="109" t="s">
        <v>126</v>
      </c>
      <c r="AI14" s="109" t="s">
        <v>405</v>
      </c>
      <c r="AJ14" s="109" t="s">
        <v>406</v>
      </c>
      <c r="AK14" s="109" t="s">
        <v>129</v>
      </c>
      <c r="AL14" s="109" t="s">
        <v>130</v>
      </c>
      <c r="AM14" s="109" t="s">
        <v>131</v>
      </c>
      <c r="AN14" s="109" t="s">
        <v>132</v>
      </c>
      <c r="AO14" s="109" t="s">
        <v>133</v>
      </c>
      <c r="AP14" s="109" t="s">
        <v>134</v>
      </c>
      <c r="AQ14" s="109" t="s">
        <v>135</v>
      </c>
      <c r="AR14" s="109" t="s">
        <v>136</v>
      </c>
      <c r="AS14" s="109" t="s">
        <v>137</v>
      </c>
      <c r="AT14" s="109" t="s">
        <v>138</v>
      </c>
      <c r="AU14" s="109" t="s">
        <v>139</v>
      </c>
      <c r="AV14" s="109" t="s">
        <v>140</v>
      </c>
      <c r="AW14" s="109" t="s">
        <v>141</v>
      </c>
      <c r="AX14" s="109" t="s">
        <v>142</v>
      </c>
      <c r="AY14" s="109" t="s">
        <v>143</v>
      </c>
      <c r="AZ14" s="109" t="s">
        <v>144</v>
      </c>
      <c r="BA14" s="109" t="s">
        <v>145</v>
      </c>
      <c r="BB14" s="109" t="s">
        <v>146</v>
      </c>
      <c r="BC14" s="109" t="s">
        <v>147</v>
      </c>
      <c r="BD14" s="109" t="s">
        <v>148</v>
      </c>
      <c r="BE14" s="109" t="s">
        <v>149</v>
      </c>
      <c r="BF14" s="109" t="s">
        <v>150</v>
      </c>
      <c r="BG14" s="109" t="s">
        <v>151</v>
      </c>
      <c r="BH14" s="109" t="s">
        <v>152</v>
      </c>
      <c r="BI14" s="109" t="s">
        <v>153</v>
      </c>
      <c r="BJ14" s="109" t="s">
        <v>154</v>
      </c>
      <c r="BK14" s="109" t="s">
        <v>155</v>
      </c>
      <c r="BL14" s="109" t="s">
        <v>156</v>
      </c>
      <c r="BM14" s="109" t="s">
        <v>157</v>
      </c>
      <c r="BN14" s="109" t="s">
        <v>158</v>
      </c>
      <c r="BO14" s="109" t="s">
        <v>159</v>
      </c>
      <c r="BP14" s="109" t="s">
        <v>160</v>
      </c>
      <c r="BQ14" s="109" t="s">
        <v>161</v>
      </c>
      <c r="BR14" s="109" t="s">
        <v>162</v>
      </c>
      <c r="BS14" s="109" t="s">
        <v>163</v>
      </c>
      <c r="BT14" s="109" t="s">
        <v>164</v>
      </c>
      <c r="BU14" s="109" t="s">
        <v>388</v>
      </c>
      <c r="BV14" s="109" t="s">
        <v>178</v>
      </c>
      <c r="BW14" s="109" t="s">
        <v>179</v>
      </c>
      <c r="BX14" s="109" t="s">
        <v>349</v>
      </c>
      <c r="BY14" s="109" t="s">
        <v>350</v>
      </c>
      <c r="BZ14" s="109" t="s">
        <v>355</v>
      </c>
      <c r="CA14" s="109" t="s">
        <v>171</v>
      </c>
      <c r="CB14" s="109" t="s">
        <v>172</v>
      </c>
      <c r="CC14" s="109" t="s">
        <v>173</v>
      </c>
      <c r="CD14" s="109" t="s">
        <v>356</v>
      </c>
      <c r="CE14" s="109" t="s">
        <v>357</v>
      </c>
      <c r="CF14" s="109" t="s">
        <v>358</v>
      </c>
      <c r="CG14" s="109" t="s">
        <v>359</v>
      </c>
      <c r="CH14" s="109" t="s">
        <v>360</v>
      </c>
      <c r="CI14" s="109" t="s">
        <v>361</v>
      </c>
      <c r="CJ14" s="109" t="s">
        <v>362</v>
      </c>
      <c r="CK14" s="109" t="s">
        <v>363</v>
      </c>
      <c r="CL14" s="109" t="s">
        <v>364</v>
      </c>
      <c r="CM14" s="109" t="s">
        <v>365</v>
      </c>
      <c r="CN14" s="109" t="s">
        <v>366</v>
      </c>
      <c r="CO14" s="109" t="s">
        <v>197</v>
      </c>
      <c r="CP14" s="109" t="s">
        <v>198</v>
      </c>
      <c r="CQ14" s="114" t="s">
        <v>389</v>
      </c>
      <c r="CR14" s="114" t="s">
        <v>390</v>
      </c>
      <c r="CS14" s="114" t="s">
        <v>391</v>
      </c>
      <c r="CT14" s="114" t="s">
        <v>392</v>
      </c>
      <c r="CU14" s="114" t="s">
        <v>393</v>
      </c>
      <c r="CV14" s="114" t="s">
        <v>394</v>
      </c>
      <c r="CW14" s="116"/>
      <c r="CX14" s="106"/>
      <c r="CY14" s="106"/>
      <c r="CZ14" s="106"/>
    </row>
    <row r="16" spans="1:106" ht="15" x14ac:dyDescent="0.35">
      <c r="A16" s="121" t="s">
        <v>407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13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</row>
    <row r="17" spans="1:88" ht="29" x14ac:dyDescent="0.35">
      <c r="A17" s="118" t="s">
        <v>408</v>
      </c>
      <c r="B17" s="109" t="s">
        <v>215</v>
      </c>
      <c r="C17" s="109" t="s">
        <v>216</v>
      </c>
      <c r="D17" s="109" t="s">
        <v>217</v>
      </c>
      <c r="E17" s="114" t="s">
        <v>218</v>
      </c>
      <c r="F17" s="114" t="s">
        <v>219</v>
      </c>
      <c r="G17" s="109" t="s">
        <v>177</v>
      </c>
      <c r="H17" s="109" t="s">
        <v>178</v>
      </c>
      <c r="I17" s="109" t="s">
        <v>409</v>
      </c>
      <c r="J17" s="109" t="s">
        <v>410</v>
      </c>
      <c r="K17" s="109" t="s">
        <v>411</v>
      </c>
      <c r="L17" s="109" t="s">
        <v>412</v>
      </c>
      <c r="M17" s="115" t="s">
        <v>413</v>
      </c>
      <c r="N17" s="109" t="s">
        <v>414</v>
      </c>
      <c r="O17" s="109" t="s">
        <v>415</v>
      </c>
      <c r="P17" s="111"/>
      <c r="Q17" s="111"/>
      <c r="R17" s="111"/>
      <c r="S17" s="111"/>
      <c r="T17" s="111"/>
      <c r="U17" s="111"/>
      <c r="V17" s="117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</row>
    <row r="18" spans="1:88" x14ac:dyDescent="0.35">
      <c r="A18" s="122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7"/>
      <c r="N18" s="111"/>
      <c r="O18" s="111"/>
      <c r="P18" s="111"/>
      <c r="Q18" s="111"/>
      <c r="R18" s="111"/>
      <c r="S18" s="111"/>
      <c r="T18" s="111"/>
      <c r="U18" s="111"/>
      <c r="V18" s="117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111"/>
      <c r="BQ18" s="111"/>
      <c r="BR18" s="111"/>
      <c r="BS18" s="111"/>
      <c r="BT18" s="111"/>
      <c r="BU18" s="111"/>
      <c r="BV18" s="111"/>
      <c r="BW18" s="111"/>
      <c r="BX18" s="111"/>
    </row>
    <row r="19" spans="1:88" ht="15" x14ac:dyDescent="0.35">
      <c r="A19" s="121" t="s">
        <v>416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11"/>
      <c r="L19" s="111"/>
      <c r="M19" s="117"/>
      <c r="N19" s="111"/>
      <c r="O19" s="111"/>
      <c r="P19" s="111"/>
      <c r="Q19" s="111"/>
      <c r="R19" s="111"/>
      <c r="S19" s="111"/>
      <c r="T19" s="111"/>
      <c r="U19" s="111"/>
      <c r="V19" s="117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S19" s="111"/>
      <c r="BT19" s="111"/>
      <c r="BU19" s="111"/>
      <c r="BV19" s="111"/>
      <c r="BW19" s="111"/>
      <c r="BX19" s="111"/>
    </row>
    <row r="20" spans="1:88" ht="43.5" x14ac:dyDescent="0.35">
      <c r="A20" s="118" t="s">
        <v>417</v>
      </c>
      <c r="B20" s="109" t="s">
        <v>215</v>
      </c>
      <c r="C20" s="109" t="s">
        <v>216</v>
      </c>
      <c r="D20" s="109" t="s">
        <v>217</v>
      </c>
      <c r="E20" s="114" t="s">
        <v>218</v>
      </c>
      <c r="F20" s="114" t="s">
        <v>219</v>
      </c>
      <c r="G20" s="109" t="s">
        <v>418</v>
      </c>
      <c r="H20" s="109" t="s">
        <v>419</v>
      </c>
      <c r="I20" s="109" t="s">
        <v>420</v>
      </c>
      <c r="J20" s="109" t="s">
        <v>421</v>
      </c>
      <c r="K20" s="109" t="s">
        <v>422</v>
      </c>
      <c r="L20" s="109" t="s">
        <v>423</v>
      </c>
      <c r="M20" s="109" t="s">
        <v>424</v>
      </c>
      <c r="N20" s="109" t="s">
        <v>425</v>
      </c>
      <c r="O20" s="109" t="s">
        <v>426</v>
      </c>
      <c r="P20" s="111"/>
      <c r="Q20" s="111"/>
      <c r="R20" s="111"/>
      <c r="S20" s="111"/>
      <c r="T20" s="111"/>
      <c r="U20" s="111"/>
      <c r="V20" s="117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H20" s="111"/>
      <c r="BI20" s="111"/>
      <c r="BJ20" s="111"/>
      <c r="BK20" s="111"/>
      <c r="BL20" s="111"/>
      <c r="BM20" s="111"/>
      <c r="BN20" s="111"/>
      <c r="BO20" s="111"/>
      <c r="BP20" s="111"/>
      <c r="BQ20" s="111"/>
      <c r="BR20" s="111"/>
      <c r="BS20" s="111"/>
      <c r="BT20" s="111"/>
      <c r="BU20" s="111"/>
      <c r="BV20" s="111"/>
      <c r="BW20" s="111"/>
      <c r="BX20" s="111"/>
    </row>
    <row r="22" spans="1:88" x14ac:dyDescent="0.35">
      <c r="A22" s="121" t="s">
        <v>427</v>
      </c>
    </row>
    <row r="23" spans="1:88" x14ac:dyDescent="0.35">
      <c r="A23" s="118" t="s">
        <v>428</v>
      </c>
      <c r="B23" s="109" t="s">
        <v>215</v>
      </c>
      <c r="C23" s="109" t="s">
        <v>429</v>
      </c>
      <c r="D23" s="109" t="s">
        <v>217</v>
      </c>
      <c r="E23" s="109" t="s">
        <v>430</v>
      </c>
      <c r="F23" s="109" t="s">
        <v>431</v>
      </c>
      <c r="G23" s="109" t="s">
        <v>432</v>
      </c>
      <c r="H23" s="109" t="s">
        <v>433</v>
      </c>
      <c r="I23" s="109" t="s">
        <v>434</v>
      </c>
      <c r="J23" s="109" t="s">
        <v>435</v>
      </c>
      <c r="K23" s="109" t="s">
        <v>436</v>
      </c>
      <c r="L23" s="109" t="s">
        <v>437</v>
      </c>
      <c r="M23" s="109" t="s">
        <v>438</v>
      </c>
    </row>
    <row r="25" spans="1:88" ht="15" x14ac:dyDescent="0.35">
      <c r="A25" s="121" t="s">
        <v>439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13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</row>
    <row r="26" spans="1:88" ht="43.5" x14ac:dyDescent="0.35">
      <c r="A26" s="118" t="s">
        <v>440</v>
      </c>
      <c r="B26" s="109" t="s">
        <v>215</v>
      </c>
      <c r="C26" s="109" t="s">
        <v>216</v>
      </c>
      <c r="D26" s="109" t="s">
        <v>217</v>
      </c>
      <c r="E26" s="119" t="s">
        <v>441</v>
      </c>
      <c r="F26" s="114" t="s">
        <v>442</v>
      </c>
      <c r="G26" s="114" t="s">
        <v>443</v>
      </c>
      <c r="H26" s="114" t="s">
        <v>444</v>
      </c>
      <c r="I26" s="114" t="s">
        <v>445</v>
      </c>
      <c r="J26" s="114" t="s">
        <v>446</v>
      </c>
      <c r="K26" s="114" t="s">
        <v>447</v>
      </c>
      <c r="L26" s="114" t="s">
        <v>448</v>
      </c>
      <c r="M26" s="114" t="s">
        <v>449</v>
      </c>
      <c r="N26" s="114" t="s">
        <v>450</v>
      </c>
      <c r="O26" s="119" t="s">
        <v>451</v>
      </c>
      <c r="P26" s="119" t="s">
        <v>452</v>
      </c>
      <c r="Q26" s="119" t="s">
        <v>453</v>
      </c>
      <c r="R26" s="119" t="s">
        <v>454</v>
      </c>
      <c r="S26" s="119" t="s">
        <v>455</v>
      </c>
      <c r="T26" s="119" t="s">
        <v>456</v>
      </c>
      <c r="U26" s="119" t="s">
        <v>457</v>
      </c>
      <c r="V26" s="119" t="s">
        <v>458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</row>
    <row r="28" spans="1:88" ht="26" x14ac:dyDescent="0.35">
      <c r="A28" s="121" t="s">
        <v>459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13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</row>
    <row r="29" spans="1:88" ht="43.5" x14ac:dyDescent="0.35">
      <c r="A29" s="108" t="s">
        <v>460</v>
      </c>
      <c r="B29" s="109" t="s">
        <v>215</v>
      </c>
      <c r="C29" s="109" t="s">
        <v>216</v>
      </c>
      <c r="D29" s="109" t="s">
        <v>217</v>
      </c>
      <c r="E29" s="109" t="s">
        <v>461</v>
      </c>
      <c r="F29" s="109" t="s">
        <v>462</v>
      </c>
      <c r="G29" s="109" t="s">
        <v>463</v>
      </c>
      <c r="H29" s="109" t="s">
        <v>464</v>
      </c>
      <c r="I29" s="109" t="s">
        <v>465</v>
      </c>
      <c r="J29" s="109" t="s">
        <v>466</v>
      </c>
      <c r="K29" s="109" t="s">
        <v>467</v>
      </c>
      <c r="L29" s="109" t="s">
        <v>468</v>
      </c>
      <c r="M29" s="109" t="s">
        <v>469</v>
      </c>
      <c r="N29" s="109" t="s">
        <v>470</v>
      </c>
      <c r="O29" s="109" t="s">
        <v>471</v>
      </c>
      <c r="P29" s="109" t="s">
        <v>472</v>
      </c>
      <c r="Q29" s="109" t="s">
        <v>473</v>
      </c>
      <c r="R29" s="109" t="s">
        <v>474</v>
      </c>
      <c r="S29" s="109" t="s">
        <v>475</v>
      </c>
      <c r="T29" s="109" t="s">
        <v>476</v>
      </c>
      <c r="U29" s="109" t="s">
        <v>477</v>
      </c>
      <c r="V29" s="109" t="s">
        <v>478</v>
      </c>
      <c r="W29" s="109" t="s">
        <v>479</v>
      </c>
      <c r="X29" s="109" t="s">
        <v>480</v>
      </c>
      <c r="Y29" s="109" t="s">
        <v>481</v>
      </c>
      <c r="Z29" s="109" t="s">
        <v>482</v>
      </c>
      <c r="AA29" s="109" t="s">
        <v>483</v>
      </c>
      <c r="AB29" s="109" t="s">
        <v>484</v>
      </c>
      <c r="AC29" s="109" t="s">
        <v>485</v>
      </c>
      <c r="AD29" s="109" t="s">
        <v>486</v>
      </c>
      <c r="AE29" s="109" t="s">
        <v>487</v>
      </c>
      <c r="AF29" s="109" t="s">
        <v>488</v>
      </c>
      <c r="AG29" s="109" t="s">
        <v>489</v>
      </c>
      <c r="AH29" s="109" t="s">
        <v>490</v>
      </c>
      <c r="AI29" s="109" t="s">
        <v>491</v>
      </c>
      <c r="AJ29" s="109" t="s">
        <v>492</v>
      </c>
      <c r="AK29" s="109" t="s">
        <v>493</v>
      </c>
      <c r="AL29" s="109" t="s">
        <v>494</v>
      </c>
      <c r="AM29" s="109" t="s">
        <v>495</v>
      </c>
      <c r="AN29" s="109" t="s">
        <v>496</v>
      </c>
      <c r="AO29" s="109" t="s">
        <v>497</v>
      </c>
      <c r="AP29" s="109" t="s">
        <v>498</v>
      </c>
      <c r="AQ29" s="109" t="s">
        <v>499</v>
      </c>
      <c r="AR29" s="109" t="s">
        <v>500</v>
      </c>
      <c r="AS29" s="109" t="s">
        <v>501</v>
      </c>
      <c r="AT29" s="109" t="s">
        <v>502</v>
      </c>
      <c r="AU29" s="109" t="s">
        <v>503</v>
      </c>
      <c r="AV29" s="109" t="s">
        <v>504</v>
      </c>
      <c r="AW29" s="109" t="s">
        <v>505</v>
      </c>
      <c r="AX29" s="109" t="s">
        <v>506</v>
      </c>
      <c r="AY29" s="109" t="s">
        <v>507</v>
      </c>
      <c r="AZ29" s="109" t="s">
        <v>508</v>
      </c>
      <c r="BA29" s="109" t="s">
        <v>509</v>
      </c>
      <c r="BB29" s="109" t="s">
        <v>510</v>
      </c>
      <c r="BC29" s="109" t="s">
        <v>511</v>
      </c>
      <c r="BD29" s="109" t="s">
        <v>512</v>
      </c>
      <c r="BE29" s="109" t="s">
        <v>513</v>
      </c>
      <c r="BF29" s="109" t="s">
        <v>514</v>
      </c>
      <c r="BG29" s="109" t="s">
        <v>515</v>
      </c>
      <c r="BH29" s="109" t="s">
        <v>516</v>
      </c>
      <c r="BI29" s="109" t="s">
        <v>517</v>
      </c>
      <c r="BJ29" s="109" t="s">
        <v>518</v>
      </c>
      <c r="BK29" s="109" t="s">
        <v>519</v>
      </c>
      <c r="BL29" s="109" t="s">
        <v>520</v>
      </c>
      <c r="BM29" s="109" t="s">
        <v>521</v>
      </c>
      <c r="BN29" s="109" t="s">
        <v>522</v>
      </c>
      <c r="BO29" s="109" t="s">
        <v>523</v>
      </c>
      <c r="BP29" s="109" t="s">
        <v>524</v>
      </c>
      <c r="BQ29" s="109" t="s">
        <v>525</v>
      </c>
      <c r="BR29" s="109" t="s">
        <v>526</v>
      </c>
      <c r="BS29" s="109" t="s">
        <v>527</v>
      </c>
      <c r="BT29" s="109" t="s">
        <v>528</v>
      </c>
      <c r="BU29" s="109" t="s">
        <v>529</v>
      </c>
      <c r="BV29" s="109" t="s">
        <v>530</v>
      </c>
      <c r="BW29" s="109" t="s">
        <v>531</v>
      </c>
      <c r="BX29" s="109" t="s">
        <v>532</v>
      </c>
      <c r="BY29" s="109" t="s">
        <v>533</v>
      </c>
      <c r="BZ29" s="109" t="s">
        <v>534</v>
      </c>
      <c r="CA29" s="109" t="s">
        <v>535</v>
      </c>
      <c r="CB29" s="109" t="s">
        <v>536</v>
      </c>
      <c r="CC29" s="109" t="s">
        <v>537</v>
      </c>
      <c r="CD29" s="109" t="s">
        <v>538</v>
      </c>
      <c r="CE29" s="109" t="s">
        <v>539</v>
      </c>
      <c r="CF29" s="109" t="s">
        <v>540</v>
      </c>
      <c r="CG29" s="109" t="s">
        <v>541</v>
      </c>
      <c r="CH29" s="109" t="s">
        <v>542</v>
      </c>
      <c r="CI29" s="109" t="s">
        <v>543</v>
      </c>
      <c r="CJ29" s="109" t="s">
        <v>544</v>
      </c>
    </row>
    <row r="31" spans="1:88" ht="26" x14ac:dyDescent="0.35">
      <c r="A31" s="121" t="s">
        <v>545</v>
      </c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13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</row>
    <row r="32" spans="1:88" ht="43.5" x14ac:dyDescent="0.35">
      <c r="A32" s="108" t="s">
        <v>546</v>
      </c>
      <c r="B32" s="109" t="s">
        <v>215</v>
      </c>
      <c r="C32" s="109" t="s">
        <v>216</v>
      </c>
      <c r="D32" s="109" t="s">
        <v>217</v>
      </c>
      <c r="E32" s="109" t="s">
        <v>461</v>
      </c>
      <c r="F32" s="109" t="s">
        <v>462</v>
      </c>
      <c r="G32" s="109" t="s">
        <v>463</v>
      </c>
      <c r="H32" s="109" t="s">
        <v>464</v>
      </c>
      <c r="I32" s="109" t="s">
        <v>465</v>
      </c>
      <c r="J32" s="109" t="s">
        <v>466</v>
      </c>
      <c r="K32" s="109" t="s">
        <v>467</v>
      </c>
      <c r="L32" s="109" t="s">
        <v>468</v>
      </c>
      <c r="M32" s="109" t="s">
        <v>469</v>
      </c>
      <c r="N32" s="109" t="s">
        <v>470</v>
      </c>
      <c r="O32" s="109" t="s">
        <v>471</v>
      </c>
      <c r="P32" s="109" t="s">
        <v>472</v>
      </c>
      <c r="Q32" s="109" t="s">
        <v>473</v>
      </c>
      <c r="R32" s="109" t="s">
        <v>474</v>
      </c>
      <c r="S32" s="109" t="s">
        <v>475</v>
      </c>
      <c r="T32" s="109" t="s">
        <v>476</v>
      </c>
      <c r="U32" s="109" t="s">
        <v>477</v>
      </c>
      <c r="V32" s="109" t="s">
        <v>478</v>
      </c>
      <c r="W32" s="109" t="s">
        <v>479</v>
      </c>
      <c r="X32" s="109" t="s">
        <v>480</v>
      </c>
      <c r="Y32" s="109" t="s">
        <v>481</v>
      </c>
      <c r="Z32" s="109" t="s">
        <v>482</v>
      </c>
      <c r="AA32" s="109" t="s">
        <v>483</v>
      </c>
      <c r="AB32" s="109" t="s">
        <v>484</v>
      </c>
      <c r="AC32" s="109" t="s">
        <v>485</v>
      </c>
      <c r="AD32" s="109" t="s">
        <v>486</v>
      </c>
      <c r="AE32" s="109" t="s">
        <v>487</v>
      </c>
      <c r="AF32" s="109" t="s">
        <v>488</v>
      </c>
      <c r="AG32" s="109" t="s">
        <v>489</v>
      </c>
      <c r="AH32" s="109" t="s">
        <v>490</v>
      </c>
      <c r="AI32" s="109" t="s">
        <v>491</v>
      </c>
      <c r="AJ32" s="109" t="s">
        <v>492</v>
      </c>
      <c r="AK32" s="109" t="s">
        <v>493</v>
      </c>
      <c r="AL32" s="109" t="s">
        <v>494</v>
      </c>
      <c r="AM32" s="109" t="s">
        <v>495</v>
      </c>
      <c r="AN32" s="109" t="s">
        <v>496</v>
      </c>
      <c r="AO32" s="109" t="s">
        <v>497</v>
      </c>
      <c r="AP32" s="109" t="s">
        <v>498</v>
      </c>
      <c r="AQ32" s="109" t="s">
        <v>499</v>
      </c>
      <c r="AR32" s="109" t="s">
        <v>500</v>
      </c>
      <c r="AS32" s="109" t="s">
        <v>501</v>
      </c>
      <c r="AT32" s="109" t="s">
        <v>502</v>
      </c>
      <c r="AU32" s="109" t="s">
        <v>503</v>
      </c>
      <c r="AV32" s="109" t="s">
        <v>504</v>
      </c>
      <c r="AW32" s="109" t="s">
        <v>505</v>
      </c>
      <c r="AX32" s="109" t="s">
        <v>506</v>
      </c>
      <c r="AY32" s="109" t="s">
        <v>507</v>
      </c>
      <c r="AZ32" s="109" t="s">
        <v>508</v>
      </c>
      <c r="BA32" s="109" t="s">
        <v>509</v>
      </c>
      <c r="BB32" s="109" t="s">
        <v>510</v>
      </c>
      <c r="BC32" s="109" t="s">
        <v>511</v>
      </c>
      <c r="BD32" s="109" t="s">
        <v>512</v>
      </c>
      <c r="BE32" s="109" t="s">
        <v>513</v>
      </c>
      <c r="BF32" s="109" t="s">
        <v>514</v>
      </c>
      <c r="BG32" s="109" t="s">
        <v>515</v>
      </c>
      <c r="BH32" s="109" t="s">
        <v>516</v>
      </c>
      <c r="BI32" s="109" t="s">
        <v>517</v>
      </c>
      <c r="BJ32" s="109" t="s">
        <v>518</v>
      </c>
      <c r="BK32" s="109" t="s">
        <v>519</v>
      </c>
      <c r="BL32" s="109" t="s">
        <v>520</v>
      </c>
      <c r="BM32" s="109" t="s">
        <v>521</v>
      </c>
      <c r="BN32" s="109" t="s">
        <v>522</v>
      </c>
      <c r="BO32" s="109" t="s">
        <v>523</v>
      </c>
      <c r="BP32" s="109" t="s">
        <v>524</v>
      </c>
      <c r="BQ32" s="109" t="s">
        <v>525</v>
      </c>
      <c r="BR32" s="109" t="s">
        <v>526</v>
      </c>
      <c r="BS32" s="109" t="s">
        <v>527</v>
      </c>
      <c r="BT32" s="109" t="s">
        <v>528</v>
      </c>
      <c r="BU32" s="109" t="s">
        <v>529</v>
      </c>
      <c r="BV32" s="109" t="s">
        <v>530</v>
      </c>
      <c r="BW32" s="109" t="s">
        <v>531</v>
      </c>
      <c r="BX32" s="109" t="s">
        <v>532</v>
      </c>
      <c r="BY32" s="109" t="s">
        <v>533</v>
      </c>
      <c r="BZ32" s="109" t="s">
        <v>534</v>
      </c>
      <c r="CA32" s="109" t="s">
        <v>535</v>
      </c>
      <c r="CB32" s="109" t="s">
        <v>536</v>
      </c>
      <c r="CC32" s="109" t="s">
        <v>537</v>
      </c>
      <c r="CD32" s="109" t="s">
        <v>538</v>
      </c>
      <c r="CE32" s="109" t="s">
        <v>539</v>
      </c>
      <c r="CF32" s="109" t="s">
        <v>540</v>
      </c>
      <c r="CG32" s="109" t="s">
        <v>541</v>
      </c>
      <c r="CH32" s="109" t="s">
        <v>542</v>
      </c>
      <c r="CI32" s="109" t="s">
        <v>543</v>
      </c>
      <c r="CJ32" s="109" t="s">
        <v>544</v>
      </c>
    </row>
    <row r="34" spans="1:76" ht="26" x14ac:dyDescent="0.35">
      <c r="A34" s="121" t="s">
        <v>547</v>
      </c>
      <c r="B34" s="111"/>
      <c r="C34" s="111"/>
      <c r="D34" s="111"/>
      <c r="E34" s="111"/>
      <c r="F34" s="111"/>
      <c r="G34" s="111"/>
      <c r="H34" s="111"/>
    </row>
    <row r="35" spans="1:76" ht="29" x14ac:dyDescent="0.35">
      <c r="A35" s="118" t="s">
        <v>548</v>
      </c>
      <c r="B35" s="109" t="s">
        <v>215</v>
      </c>
      <c r="C35" s="109" t="s">
        <v>429</v>
      </c>
      <c r="D35" s="109" t="s">
        <v>217</v>
      </c>
      <c r="E35" s="109" t="s">
        <v>441</v>
      </c>
      <c r="F35" s="109" t="s">
        <v>442</v>
      </c>
      <c r="G35" s="109" t="s">
        <v>549</v>
      </c>
      <c r="H35" s="109" t="s">
        <v>550</v>
      </c>
    </row>
    <row r="36" spans="1:76" x14ac:dyDescent="0.35">
      <c r="A36" s="122"/>
      <c r="B36" s="111"/>
      <c r="C36" s="111"/>
      <c r="D36" s="111"/>
      <c r="E36" s="111"/>
      <c r="F36" s="111"/>
      <c r="G36" s="111"/>
      <c r="H36" s="111"/>
    </row>
    <row r="37" spans="1:76" ht="15" x14ac:dyDescent="0.35">
      <c r="A37" s="121" t="s">
        <v>551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13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</row>
    <row r="38" spans="1:76" ht="29" x14ac:dyDescent="0.35">
      <c r="A38" s="118" t="s">
        <v>552</v>
      </c>
      <c r="B38" s="109" t="s">
        <v>215</v>
      </c>
      <c r="C38" s="109" t="s">
        <v>553</v>
      </c>
      <c r="D38" s="109" t="s">
        <v>217</v>
      </c>
      <c r="E38" s="119" t="s">
        <v>554</v>
      </c>
      <c r="F38" s="114" t="s">
        <v>555</v>
      </c>
      <c r="G38" s="114" t="s">
        <v>556</v>
      </c>
      <c r="H38" s="114" t="s">
        <v>557</v>
      </c>
      <c r="I38" s="114" t="s">
        <v>558</v>
      </c>
      <c r="J38" s="114" t="s">
        <v>559</v>
      </c>
      <c r="K38" s="114" t="s">
        <v>560</v>
      </c>
      <c r="L38" s="114" t="s">
        <v>561</v>
      </c>
      <c r="M38" s="114" t="s">
        <v>562</v>
      </c>
      <c r="N38" s="114" t="s">
        <v>563</v>
      </c>
      <c r="O38" s="119" t="s">
        <v>564</v>
      </c>
      <c r="P38" s="119" t="s">
        <v>565</v>
      </c>
      <c r="Q38" s="119" t="s">
        <v>566</v>
      </c>
      <c r="R38" s="119" t="s">
        <v>567</v>
      </c>
      <c r="S38" s="116"/>
      <c r="T38" s="116"/>
      <c r="U38" s="116"/>
      <c r="V38" s="120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</row>
    <row r="40" spans="1:76" ht="15" x14ac:dyDescent="0.35">
      <c r="A40" s="121" t="s">
        <v>568</v>
      </c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</row>
    <row r="41" spans="1:76" ht="43.5" x14ac:dyDescent="0.35">
      <c r="A41" s="108" t="s">
        <v>569</v>
      </c>
      <c r="B41" s="109" t="s">
        <v>215</v>
      </c>
      <c r="C41" s="109" t="s">
        <v>216</v>
      </c>
      <c r="D41" s="109" t="s">
        <v>217</v>
      </c>
      <c r="E41" s="114" t="s">
        <v>218</v>
      </c>
      <c r="F41" s="114" t="s">
        <v>219</v>
      </c>
      <c r="G41" s="109" t="s">
        <v>570</v>
      </c>
      <c r="H41" s="109" t="s">
        <v>571</v>
      </c>
      <c r="I41" s="109" t="s">
        <v>572</v>
      </c>
      <c r="J41" s="109" t="s">
        <v>573</v>
      </c>
      <c r="K41" s="109" t="s">
        <v>574</v>
      </c>
      <c r="L41" s="109" t="s">
        <v>575</v>
      </c>
      <c r="M41" s="109" t="s">
        <v>576</v>
      </c>
      <c r="N41" s="109" t="s">
        <v>577</v>
      </c>
      <c r="O41" s="109" t="s">
        <v>578</v>
      </c>
      <c r="P41" s="109" t="s">
        <v>579</v>
      </c>
      <c r="Q41" s="109" t="s">
        <v>580</v>
      </c>
      <c r="R41" s="109" t="s">
        <v>581</v>
      </c>
      <c r="S41" s="109" t="s">
        <v>582</v>
      </c>
      <c r="T41" s="109" t="s">
        <v>583</v>
      </c>
      <c r="U41" s="109" t="s">
        <v>584</v>
      </c>
      <c r="V41" s="109" t="s">
        <v>585</v>
      </c>
      <c r="W41" s="109" t="s">
        <v>586</v>
      </c>
      <c r="X41" s="109" t="s">
        <v>587</v>
      </c>
      <c r="Y41" s="119" t="s">
        <v>588</v>
      </c>
    </row>
    <row r="43" spans="1:76" x14ac:dyDescent="0.35">
      <c r="A43" s="121" t="s">
        <v>589</v>
      </c>
    </row>
    <row r="44" spans="1:76" ht="43.5" x14ac:dyDescent="0.35">
      <c r="A44" s="118" t="s">
        <v>590</v>
      </c>
      <c r="B44" s="109" t="s">
        <v>215</v>
      </c>
      <c r="C44" s="109" t="s">
        <v>216</v>
      </c>
      <c r="D44" s="109" t="s">
        <v>217</v>
      </c>
      <c r="E44" s="114" t="s">
        <v>218</v>
      </c>
      <c r="F44" s="114" t="s">
        <v>219</v>
      </c>
      <c r="G44" s="109" t="s">
        <v>591</v>
      </c>
      <c r="H44" s="109" t="s">
        <v>592</v>
      </c>
      <c r="I44" s="109" t="s">
        <v>593</v>
      </c>
      <c r="J44" s="109" t="s">
        <v>594</v>
      </c>
      <c r="K44" s="109" t="s">
        <v>595</v>
      </c>
      <c r="L44" s="109" t="s">
        <v>596</v>
      </c>
      <c r="M44" s="109" t="s">
        <v>597</v>
      </c>
      <c r="N44" s="109" t="s">
        <v>598</v>
      </c>
      <c r="O44" s="109" t="s">
        <v>599</v>
      </c>
      <c r="P44" s="109" t="s">
        <v>600</v>
      </c>
      <c r="Q44" s="109" t="s">
        <v>601</v>
      </c>
      <c r="R44" s="109" t="s">
        <v>602</v>
      </c>
      <c r="S44" s="109" t="s">
        <v>603</v>
      </c>
      <c r="T44" s="109" t="s">
        <v>604</v>
      </c>
      <c r="U44" s="109" t="s">
        <v>605</v>
      </c>
      <c r="V44" s="109" t="s">
        <v>606</v>
      </c>
      <c r="W44" s="109" t="s">
        <v>607</v>
      </c>
      <c r="X44" s="109" t="s">
        <v>608</v>
      </c>
    </row>
    <row r="46" spans="1:76" ht="26" x14ac:dyDescent="0.35">
      <c r="A46" s="121" t="s">
        <v>609</v>
      </c>
    </row>
    <row r="47" spans="1:76" ht="43.5" x14ac:dyDescent="0.35">
      <c r="A47" s="118" t="s">
        <v>610</v>
      </c>
      <c r="B47" s="109" t="s">
        <v>215</v>
      </c>
      <c r="C47" s="109" t="s">
        <v>216</v>
      </c>
      <c r="D47" s="109" t="s">
        <v>217</v>
      </c>
      <c r="E47" s="109" t="s">
        <v>611</v>
      </c>
      <c r="F47" s="109" t="s">
        <v>612</v>
      </c>
      <c r="G47" s="109" t="s">
        <v>613</v>
      </c>
      <c r="H47" s="109" t="s">
        <v>614</v>
      </c>
      <c r="I47" s="109" t="s">
        <v>615</v>
      </c>
      <c r="J47" s="109" t="s">
        <v>616</v>
      </c>
      <c r="K47" s="109" t="s">
        <v>617</v>
      </c>
      <c r="L47" s="109" t="s">
        <v>618</v>
      </c>
      <c r="M47" s="109" t="s">
        <v>619</v>
      </c>
      <c r="N47" s="109" t="s">
        <v>620</v>
      </c>
      <c r="O47" s="109" t="s">
        <v>621</v>
      </c>
      <c r="P47" s="109" t="s">
        <v>622</v>
      </c>
      <c r="Q47" s="109" t="s">
        <v>623</v>
      </c>
      <c r="R47" s="109" t="s">
        <v>624</v>
      </c>
      <c r="S47" s="109" t="s">
        <v>625</v>
      </c>
      <c r="T47" s="109" t="s">
        <v>626</v>
      </c>
      <c r="U47" s="109" t="s">
        <v>627</v>
      </c>
      <c r="V47" s="109" t="s">
        <v>628</v>
      </c>
    </row>
    <row r="48" spans="1:76" x14ac:dyDescent="0.35">
      <c r="A48" s="124"/>
    </row>
    <row r="49" spans="1:24" ht="26" x14ac:dyDescent="0.35">
      <c r="A49" s="121" t="s">
        <v>629</v>
      </c>
    </row>
    <row r="50" spans="1:24" ht="43.5" x14ac:dyDescent="0.35">
      <c r="A50" s="118" t="s">
        <v>630</v>
      </c>
      <c r="B50" s="109" t="s">
        <v>215</v>
      </c>
      <c r="C50" s="109" t="s">
        <v>216</v>
      </c>
      <c r="D50" s="109" t="s">
        <v>217</v>
      </c>
      <c r="E50" s="109" t="s">
        <v>611</v>
      </c>
      <c r="F50" s="109" t="s">
        <v>612</v>
      </c>
      <c r="G50" s="109" t="s">
        <v>613</v>
      </c>
      <c r="H50" s="109" t="s">
        <v>614</v>
      </c>
      <c r="I50" s="109" t="s">
        <v>615</v>
      </c>
      <c r="J50" s="109" t="s">
        <v>616</v>
      </c>
      <c r="K50" s="109" t="s">
        <v>617</v>
      </c>
      <c r="L50" s="109" t="s">
        <v>618</v>
      </c>
      <c r="M50" s="109" t="s">
        <v>619</v>
      </c>
      <c r="N50" s="109" t="s">
        <v>620</v>
      </c>
      <c r="O50" s="109" t="s">
        <v>621</v>
      </c>
      <c r="P50" s="109" t="s">
        <v>622</v>
      </c>
      <c r="Q50" s="109" t="s">
        <v>623</v>
      </c>
      <c r="R50" s="109" t="s">
        <v>624</v>
      </c>
      <c r="S50" s="109" t="s">
        <v>625</v>
      </c>
      <c r="T50" s="109" t="s">
        <v>626</v>
      </c>
      <c r="U50" s="109" t="s">
        <v>627</v>
      </c>
      <c r="V50" s="109" t="s">
        <v>628</v>
      </c>
    </row>
    <row r="52" spans="1:24" ht="26" x14ac:dyDescent="0.35">
      <c r="A52" s="121" t="s">
        <v>631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</row>
    <row r="53" spans="1:24" ht="58" x14ac:dyDescent="0.35">
      <c r="A53" s="118" t="s">
        <v>632</v>
      </c>
      <c r="B53" s="109" t="s">
        <v>215</v>
      </c>
      <c r="C53" s="109" t="s">
        <v>216</v>
      </c>
      <c r="D53" s="109" t="s">
        <v>217</v>
      </c>
      <c r="E53" s="114" t="s">
        <v>218</v>
      </c>
      <c r="F53" s="114" t="s">
        <v>219</v>
      </c>
      <c r="G53" s="109" t="s">
        <v>633</v>
      </c>
      <c r="H53" s="109" t="s">
        <v>634</v>
      </c>
      <c r="I53" s="109" t="s">
        <v>635</v>
      </c>
      <c r="J53" s="109" t="s">
        <v>636</v>
      </c>
      <c r="K53" s="109" t="s">
        <v>637</v>
      </c>
      <c r="L53" s="109" t="s">
        <v>638</v>
      </c>
      <c r="M53" s="109" t="s">
        <v>639</v>
      </c>
    </row>
    <row r="55" spans="1:24" x14ac:dyDescent="0.35">
      <c r="A55" s="121" t="s">
        <v>640</v>
      </c>
    </row>
    <row r="56" spans="1:24" ht="29" x14ac:dyDescent="0.35">
      <c r="A56" s="118" t="s">
        <v>641</v>
      </c>
      <c r="B56" s="109" t="s">
        <v>215</v>
      </c>
      <c r="C56" s="109" t="s">
        <v>216</v>
      </c>
      <c r="D56" s="109" t="s">
        <v>217</v>
      </c>
      <c r="E56" s="114" t="s">
        <v>218</v>
      </c>
      <c r="F56" s="114" t="s">
        <v>219</v>
      </c>
      <c r="G56" s="114" t="s">
        <v>642</v>
      </c>
      <c r="H56" s="114" t="s">
        <v>643</v>
      </c>
      <c r="I56" s="114" t="s">
        <v>644</v>
      </c>
      <c r="J56" s="109" t="s">
        <v>645</v>
      </c>
      <c r="K56" s="109" t="s">
        <v>646</v>
      </c>
      <c r="L56" s="109" t="s">
        <v>647</v>
      </c>
      <c r="M56" s="109" t="s">
        <v>648</v>
      </c>
      <c r="N56" s="109" t="s">
        <v>649</v>
      </c>
      <c r="O56" s="109" t="s">
        <v>650</v>
      </c>
      <c r="P56" s="109" t="s">
        <v>651</v>
      </c>
      <c r="Q56" s="109" t="s">
        <v>652</v>
      </c>
      <c r="R56" s="109" t="s">
        <v>653</v>
      </c>
      <c r="S56" s="109" t="s">
        <v>654</v>
      </c>
      <c r="T56" s="109" t="s">
        <v>655</v>
      </c>
      <c r="U56" s="109" t="s">
        <v>656</v>
      </c>
      <c r="V56" s="109" t="s">
        <v>657</v>
      </c>
      <c r="W56" s="109" t="s">
        <v>658</v>
      </c>
      <c r="X56" s="109" t="s">
        <v>659</v>
      </c>
    </row>
    <row r="57" spans="1:24" x14ac:dyDescent="0.35">
      <c r="R57" s="107">
        <v>2122</v>
      </c>
    </row>
    <row r="58" spans="1:24" ht="26" x14ac:dyDescent="0.35">
      <c r="A58" s="121" t="s">
        <v>660</v>
      </c>
    </row>
    <row r="59" spans="1:24" ht="29" x14ac:dyDescent="0.35">
      <c r="A59" s="118" t="s">
        <v>661</v>
      </c>
      <c r="B59" s="109" t="s">
        <v>215</v>
      </c>
      <c r="C59" s="109" t="s">
        <v>216</v>
      </c>
      <c r="D59" s="109" t="s">
        <v>217</v>
      </c>
      <c r="E59" s="109" t="s">
        <v>662</v>
      </c>
      <c r="F59" s="109" t="s">
        <v>663</v>
      </c>
      <c r="G59" s="109" t="s">
        <v>664</v>
      </c>
      <c r="H59" s="109" t="s">
        <v>665</v>
      </c>
      <c r="I59" s="109" t="s">
        <v>666</v>
      </c>
      <c r="J59" s="109" t="s">
        <v>667</v>
      </c>
      <c r="K59" s="109" t="s">
        <v>668</v>
      </c>
      <c r="L59" s="109" t="s">
        <v>669</v>
      </c>
      <c r="M59" s="109" t="s">
        <v>670</v>
      </c>
      <c r="N59" s="109" t="s">
        <v>671</v>
      </c>
      <c r="O59" s="109" t="s">
        <v>672</v>
      </c>
      <c r="P59" s="109" t="s">
        <v>673</v>
      </c>
      <c r="Q59" s="109" t="s">
        <v>674</v>
      </c>
      <c r="R59" s="109" t="s">
        <v>675</v>
      </c>
      <c r="S59" s="109" t="s">
        <v>676</v>
      </c>
      <c r="T59" s="109" t="s">
        <v>677</v>
      </c>
      <c r="U59" s="109" t="s">
        <v>678</v>
      </c>
      <c r="V59" s="109" t="s">
        <v>679</v>
      </c>
    </row>
    <row r="60" spans="1:24" x14ac:dyDescent="0.35">
      <c r="A60" s="124"/>
    </row>
    <row r="61" spans="1:24" ht="26" x14ac:dyDescent="0.35">
      <c r="A61" s="121" t="s">
        <v>680</v>
      </c>
    </row>
    <row r="62" spans="1:24" ht="29" x14ac:dyDescent="0.35">
      <c r="A62" s="118" t="s">
        <v>681</v>
      </c>
      <c r="B62" s="109" t="s">
        <v>215</v>
      </c>
      <c r="C62" s="109" t="s">
        <v>216</v>
      </c>
      <c r="D62" s="109" t="s">
        <v>217</v>
      </c>
      <c r="E62" s="109" t="s">
        <v>662</v>
      </c>
      <c r="F62" s="109" t="s">
        <v>682</v>
      </c>
      <c r="G62" s="109" t="s">
        <v>664</v>
      </c>
      <c r="H62" s="109" t="s">
        <v>683</v>
      </c>
      <c r="I62" s="109" t="s">
        <v>666</v>
      </c>
      <c r="J62" s="109" t="s">
        <v>667</v>
      </c>
      <c r="K62" s="109" t="s">
        <v>668</v>
      </c>
      <c r="L62" s="109" t="s">
        <v>669</v>
      </c>
      <c r="M62" s="109" t="s">
        <v>670</v>
      </c>
      <c r="N62" s="109" t="s">
        <v>671</v>
      </c>
      <c r="O62" s="109" t="s">
        <v>672</v>
      </c>
      <c r="P62" s="109" t="s">
        <v>673</v>
      </c>
      <c r="Q62" s="109" t="s">
        <v>674</v>
      </c>
      <c r="R62" s="109" t="s">
        <v>675</v>
      </c>
      <c r="S62" s="109" t="s">
        <v>676</v>
      </c>
      <c r="T62" s="109" t="s">
        <v>684</v>
      </c>
      <c r="U62" s="109" t="s">
        <v>678</v>
      </c>
      <c r="V62" s="109" t="s">
        <v>685</v>
      </c>
    </row>
    <row r="64" spans="1:24" x14ac:dyDescent="0.35">
      <c r="A64" s="121" t="s">
        <v>686</v>
      </c>
    </row>
    <row r="65" spans="1:24" ht="29" x14ac:dyDescent="0.35">
      <c r="A65" s="118" t="s">
        <v>687</v>
      </c>
      <c r="B65" s="109" t="s">
        <v>215</v>
      </c>
      <c r="C65" s="109" t="s">
        <v>216</v>
      </c>
      <c r="D65" s="109" t="s">
        <v>217</v>
      </c>
      <c r="E65" s="114" t="s">
        <v>218</v>
      </c>
      <c r="F65" s="114" t="s">
        <v>219</v>
      </c>
      <c r="G65" s="109" t="s">
        <v>688</v>
      </c>
      <c r="H65" s="109" t="s">
        <v>689</v>
      </c>
      <c r="I65" s="109" t="s">
        <v>690</v>
      </c>
      <c r="J65" s="109" t="s">
        <v>691</v>
      </c>
      <c r="K65" s="109" t="s">
        <v>692</v>
      </c>
      <c r="L65" s="109" t="s">
        <v>693</v>
      </c>
      <c r="M65" s="109" t="s">
        <v>694</v>
      </c>
      <c r="N65" s="109" t="s">
        <v>695</v>
      </c>
      <c r="O65" s="109" t="s">
        <v>696</v>
      </c>
      <c r="P65" s="109" t="s">
        <v>697</v>
      </c>
      <c r="Q65" s="109" t="s">
        <v>698</v>
      </c>
      <c r="R65" s="109" t="s">
        <v>699</v>
      </c>
      <c r="S65" s="109" t="s">
        <v>700</v>
      </c>
      <c r="T65" s="109" t="s">
        <v>701</v>
      </c>
      <c r="U65" s="109" t="s">
        <v>702</v>
      </c>
      <c r="V65" s="109" t="s">
        <v>703</v>
      </c>
      <c r="W65" s="109" t="s">
        <v>704</v>
      </c>
      <c r="X65" s="109" t="s">
        <v>705</v>
      </c>
    </row>
    <row r="67" spans="1:24" ht="26" x14ac:dyDescent="0.35">
      <c r="A67" s="121" t="s">
        <v>706</v>
      </c>
    </row>
    <row r="68" spans="1:24" ht="29" x14ac:dyDescent="0.35">
      <c r="A68" s="118" t="s">
        <v>707</v>
      </c>
      <c r="B68" s="109" t="s">
        <v>215</v>
      </c>
      <c r="C68" s="109" t="s">
        <v>216</v>
      </c>
      <c r="D68" s="109" t="s">
        <v>217</v>
      </c>
      <c r="E68" s="109" t="s">
        <v>708</v>
      </c>
      <c r="F68" s="109" t="s">
        <v>709</v>
      </c>
      <c r="G68" s="109" t="s">
        <v>710</v>
      </c>
      <c r="H68" s="109" t="s">
        <v>711</v>
      </c>
      <c r="I68" s="109" t="s">
        <v>712</v>
      </c>
      <c r="J68" s="109" t="s">
        <v>713</v>
      </c>
      <c r="K68" s="109" t="s">
        <v>714</v>
      </c>
      <c r="L68" s="109" t="s">
        <v>715</v>
      </c>
      <c r="M68" s="109" t="s">
        <v>716</v>
      </c>
      <c r="N68" s="109" t="s">
        <v>717</v>
      </c>
      <c r="O68" s="109" t="s">
        <v>718</v>
      </c>
      <c r="P68" s="109" t="s">
        <v>719</v>
      </c>
      <c r="Q68" s="109" t="s">
        <v>720</v>
      </c>
      <c r="R68" s="109" t="s">
        <v>721</v>
      </c>
      <c r="S68" s="109" t="s">
        <v>722</v>
      </c>
      <c r="T68" s="109" t="s">
        <v>723</v>
      </c>
      <c r="U68" s="109" t="s">
        <v>724</v>
      </c>
      <c r="V68" s="109" t="s">
        <v>725</v>
      </c>
    </row>
    <row r="69" spans="1:24" x14ac:dyDescent="0.35">
      <c r="A69" s="124"/>
    </row>
    <row r="70" spans="1:24" ht="26" x14ac:dyDescent="0.35">
      <c r="A70" s="121" t="s">
        <v>726</v>
      </c>
    </row>
    <row r="71" spans="1:24" ht="29" x14ac:dyDescent="0.35">
      <c r="A71" s="118" t="s">
        <v>727</v>
      </c>
      <c r="B71" s="109" t="s">
        <v>215</v>
      </c>
      <c r="C71" s="109" t="s">
        <v>216</v>
      </c>
      <c r="D71" s="109" t="s">
        <v>217</v>
      </c>
      <c r="E71" s="109" t="s">
        <v>708</v>
      </c>
      <c r="F71" s="109" t="s">
        <v>728</v>
      </c>
      <c r="G71" s="109" t="s">
        <v>710</v>
      </c>
      <c r="H71" s="109" t="s">
        <v>729</v>
      </c>
      <c r="I71" s="109" t="s">
        <v>712</v>
      </c>
      <c r="J71" s="109" t="s">
        <v>713</v>
      </c>
      <c r="K71" s="109" t="s">
        <v>714</v>
      </c>
      <c r="L71" s="109" t="s">
        <v>715</v>
      </c>
      <c r="M71" s="109" t="s">
        <v>716</v>
      </c>
      <c r="N71" s="109" t="s">
        <v>717</v>
      </c>
      <c r="O71" s="109" t="s">
        <v>718</v>
      </c>
      <c r="P71" s="109" t="s">
        <v>719</v>
      </c>
      <c r="Q71" s="109" t="s">
        <v>720</v>
      </c>
      <c r="R71" s="109" t="s">
        <v>721</v>
      </c>
      <c r="S71" s="109" t="s">
        <v>722</v>
      </c>
      <c r="T71" s="109" t="s">
        <v>730</v>
      </c>
      <c r="U71" s="109" t="s">
        <v>724</v>
      </c>
      <c r="V71" s="109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F42"/>
  <sheetViews>
    <sheetView topLeftCell="A16" workbookViewId="0">
      <selection activeCell="B8" sqref="B8"/>
    </sheetView>
  </sheetViews>
  <sheetFormatPr baseColWidth="10" defaultRowHeight="14.5" x14ac:dyDescent="0.35"/>
  <cols>
    <col min="1" max="1" width="47.1796875" bestFit="1" customWidth="1"/>
    <col min="2" max="2" width="66.7265625" bestFit="1" customWidth="1"/>
    <col min="3" max="6" width="29.26953125" customWidth="1"/>
  </cols>
  <sheetData>
    <row r="1" spans="1:6" x14ac:dyDescent="0.35">
      <c r="A1" s="146" t="s">
        <v>38</v>
      </c>
      <c r="B1" s="146"/>
      <c r="C1" s="146"/>
      <c r="D1" s="146"/>
      <c r="E1" s="146"/>
      <c r="F1" s="146"/>
    </row>
    <row r="2" spans="1:6" x14ac:dyDescent="0.35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5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5">
      <c r="A4" t="s">
        <v>49</v>
      </c>
    </row>
    <row r="5" spans="1:6" x14ac:dyDescent="0.35">
      <c r="A5" t="s">
        <v>50</v>
      </c>
      <c r="C5" s="17" t="s">
        <v>51</v>
      </c>
      <c r="D5" s="17" t="s">
        <v>52</v>
      </c>
    </row>
    <row r="6" spans="1:6" x14ac:dyDescent="0.35">
      <c r="B6" t="s">
        <v>53</v>
      </c>
      <c r="C6" s="18">
        <v>31714</v>
      </c>
      <c r="D6" s="19">
        <v>100136210</v>
      </c>
    </row>
    <row r="7" spans="1:6" x14ac:dyDescent="0.35">
      <c r="B7" t="s">
        <v>54</v>
      </c>
      <c r="C7" s="18"/>
      <c r="D7" s="19"/>
    </row>
    <row r="8" spans="1:6" x14ac:dyDescent="0.35">
      <c r="B8" t="s">
        <v>55</v>
      </c>
      <c r="C8" s="18"/>
      <c r="D8" s="19"/>
    </row>
    <row r="9" spans="1:6" x14ac:dyDescent="0.35">
      <c r="B9" t="s">
        <v>56</v>
      </c>
      <c r="C9" s="18">
        <v>215.2400996479999</v>
      </c>
      <c r="D9" s="19">
        <v>44011.268445236477</v>
      </c>
    </row>
    <row r="10" spans="1:6" x14ac:dyDescent="0.35">
      <c r="B10" t="s">
        <v>57</v>
      </c>
      <c r="C10" s="18">
        <v>10649.353913986663</v>
      </c>
      <c r="D10" s="19">
        <v>2565710.8322220352</v>
      </c>
    </row>
    <row r="11" spans="1:6" x14ac:dyDescent="0.35">
      <c r="B11" t="s">
        <v>58</v>
      </c>
      <c r="C11" s="18">
        <v>42578.594013634662</v>
      </c>
      <c r="D11" s="19">
        <v>102745932.10066727</v>
      </c>
    </row>
    <row r="12" spans="1:6" x14ac:dyDescent="0.35">
      <c r="A12" t="s">
        <v>59</v>
      </c>
      <c r="D12" s="19"/>
    </row>
    <row r="14" spans="1:6" x14ac:dyDescent="0.35">
      <c r="A14" s="146" t="s">
        <v>38</v>
      </c>
      <c r="B14" s="146"/>
      <c r="C14" s="146"/>
      <c r="D14" s="146"/>
      <c r="E14" s="146"/>
      <c r="F14" s="146"/>
    </row>
    <row r="15" spans="1:6" x14ac:dyDescent="0.35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5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5">
      <c r="A17" t="s">
        <v>49</v>
      </c>
    </row>
    <row r="18" spans="1:6" x14ac:dyDescent="0.35">
      <c r="A18" t="s">
        <v>50</v>
      </c>
      <c r="C18" s="17" t="s">
        <v>51</v>
      </c>
      <c r="D18" s="17" t="s">
        <v>52</v>
      </c>
    </row>
    <row r="19" spans="1:6" x14ac:dyDescent="0.35">
      <c r="B19" t="s">
        <v>53</v>
      </c>
      <c r="C19" s="18">
        <v>1204563</v>
      </c>
      <c r="D19" s="19">
        <v>440516927</v>
      </c>
    </row>
    <row r="20" spans="1:6" x14ac:dyDescent="0.35">
      <c r="B20" t="s">
        <v>54</v>
      </c>
      <c r="C20" s="18"/>
      <c r="D20" s="19"/>
    </row>
    <row r="21" spans="1:6" x14ac:dyDescent="0.35">
      <c r="B21" t="s">
        <v>55</v>
      </c>
      <c r="C21" s="18"/>
      <c r="D21" s="19"/>
    </row>
    <row r="22" spans="1:6" x14ac:dyDescent="0.35">
      <c r="B22" t="s">
        <v>56</v>
      </c>
      <c r="C22" s="18">
        <v>18944.573923057989</v>
      </c>
      <c r="D22" s="19">
        <v>3104765.0704576052</v>
      </c>
    </row>
    <row r="23" spans="1:6" x14ac:dyDescent="0.35">
      <c r="B23" t="s">
        <v>57</v>
      </c>
      <c r="C23" s="18">
        <v>3140.3399294679984</v>
      </c>
      <c r="D23" s="19">
        <v>1975904.6686880402</v>
      </c>
    </row>
    <row r="24" spans="1:6" x14ac:dyDescent="0.35">
      <c r="B24" t="s">
        <v>58</v>
      </c>
      <c r="C24" s="18">
        <v>1226647.9138525259</v>
      </c>
      <c r="D24" s="19">
        <v>445597596.73914564</v>
      </c>
    </row>
    <row r="25" spans="1:6" x14ac:dyDescent="0.35">
      <c r="A25" t="s">
        <v>59</v>
      </c>
    </row>
    <row r="27" spans="1:6" x14ac:dyDescent="0.35">
      <c r="A27" s="146" t="s">
        <v>38</v>
      </c>
      <c r="B27" s="146"/>
      <c r="C27" s="146"/>
      <c r="D27" s="146"/>
      <c r="E27" s="146"/>
      <c r="F27" s="146"/>
    </row>
    <row r="28" spans="1:6" x14ac:dyDescent="0.35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5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5">
      <c r="A30" t="s">
        <v>64</v>
      </c>
      <c r="C30" s="17" t="s">
        <v>51</v>
      </c>
      <c r="D30" s="17" t="s">
        <v>52</v>
      </c>
    </row>
    <row r="31" spans="1:6" x14ac:dyDescent="0.35">
      <c r="B31" t="s">
        <v>65</v>
      </c>
      <c r="C31" s="18"/>
      <c r="D31" s="19"/>
    </row>
    <row r="32" spans="1:6" x14ac:dyDescent="0.35">
      <c r="B32" t="s">
        <v>66</v>
      </c>
      <c r="C32" s="18"/>
      <c r="D32" s="19"/>
    </row>
    <row r="33" spans="1:4" x14ac:dyDescent="0.35">
      <c r="B33" t="s">
        <v>67</v>
      </c>
      <c r="C33" s="18">
        <v>19159.814022705988</v>
      </c>
      <c r="D33" s="19">
        <v>3148776.3389028418</v>
      </c>
    </row>
    <row r="34" spans="1:4" x14ac:dyDescent="0.35">
      <c r="B34" t="s">
        <v>68</v>
      </c>
      <c r="C34" s="18">
        <v>13789.693843454661</v>
      </c>
      <c r="D34" s="19">
        <v>4541615.68709765</v>
      </c>
    </row>
    <row r="35" spans="1:4" x14ac:dyDescent="0.35">
      <c r="B35" t="s">
        <v>69</v>
      </c>
      <c r="C35" s="18">
        <v>32949.507866160653</v>
      </c>
      <c r="D35" s="19">
        <v>7690392.0260004923</v>
      </c>
    </row>
    <row r="36" spans="1:4" x14ac:dyDescent="0.35">
      <c r="A36" t="s">
        <v>70</v>
      </c>
      <c r="C36" s="18"/>
      <c r="D36" s="19"/>
    </row>
    <row r="37" spans="1:4" x14ac:dyDescent="0.35">
      <c r="B37" t="s">
        <v>71</v>
      </c>
      <c r="C37" s="18"/>
      <c r="D37" s="19">
        <v>1950</v>
      </c>
    </row>
    <row r="38" spans="1:4" x14ac:dyDescent="0.35">
      <c r="B38" t="s">
        <v>72</v>
      </c>
      <c r="C38" s="18"/>
      <c r="D38" s="19"/>
    </row>
    <row r="39" spans="1:4" x14ac:dyDescent="0.35">
      <c r="A39" t="s">
        <v>73</v>
      </c>
      <c r="C39" s="18"/>
      <c r="D39" s="19"/>
    </row>
    <row r="40" spans="1:4" x14ac:dyDescent="0.35">
      <c r="B40" t="s">
        <v>74</v>
      </c>
      <c r="C40" s="18">
        <v>19159.814022705988</v>
      </c>
      <c r="D40" s="19">
        <v>3148776.3389028418</v>
      </c>
    </row>
    <row r="41" spans="1:4" x14ac:dyDescent="0.35">
      <c r="B41" t="s">
        <v>75</v>
      </c>
      <c r="C41" s="18"/>
      <c r="D41" s="19"/>
    </row>
    <row r="42" spans="1:4" x14ac:dyDescent="0.35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9"/>
  </sheetPr>
  <dimension ref="A6:B25"/>
  <sheetViews>
    <sheetView zoomScale="130" zoomScaleNormal="130" workbookViewId="0">
      <selection activeCell="B10" sqref="B10:B14"/>
    </sheetView>
  </sheetViews>
  <sheetFormatPr baseColWidth="10" defaultRowHeight="14.5" x14ac:dyDescent="0.35"/>
  <cols>
    <col min="1" max="1" width="40.54296875" customWidth="1"/>
    <col min="2" max="2" width="21.54296875" customWidth="1"/>
  </cols>
  <sheetData>
    <row r="6" spans="1:2" ht="21" x14ac:dyDescent="0.5">
      <c r="A6" s="85" t="s">
        <v>96</v>
      </c>
      <c r="B6" s="84" t="s">
        <v>311</v>
      </c>
    </row>
    <row r="7" spans="1:2" x14ac:dyDescent="0.35">
      <c r="A7" s="97" t="s">
        <v>215</v>
      </c>
      <c r="B7" s="84">
        <v>20204</v>
      </c>
    </row>
    <row r="8" spans="1:2" x14ac:dyDescent="0.35">
      <c r="A8" s="96" t="s">
        <v>216</v>
      </c>
      <c r="B8" s="84">
        <v>10021210</v>
      </c>
    </row>
    <row r="9" spans="1:2" x14ac:dyDescent="0.35">
      <c r="A9" s="98" t="s">
        <v>217</v>
      </c>
      <c r="B9" s="84">
        <v>604</v>
      </c>
    </row>
    <row r="10" spans="1:2" x14ac:dyDescent="0.35">
      <c r="A10" s="97" t="s">
        <v>316</v>
      </c>
      <c r="B10" s="99"/>
    </row>
    <row r="11" spans="1:2" x14ac:dyDescent="0.35">
      <c r="A11" s="97" t="s">
        <v>312</v>
      </c>
      <c r="B11" s="99"/>
    </row>
    <row r="12" spans="1:2" x14ac:dyDescent="0.35">
      <c r="A12" s="97" t="s">
        <v>313</v>
      </c>
      <c r="B12" s="99"/>
    </row>
    <row r="13" spans="1:2" x14ac:dyDescent="0.35">
      <c r="A13" s="97" t="s">
        <v>314</v>
      </c>
      <c r="B13" s="99"/>
    </row>
    <row r="14" spans="1:2" x14ac:dyDescent="0.35">
      <c r="A14" s="97" t="s">
        <v>315</v>
      </c>
      <c r="B14" s="99"/>
    </row>
    <row r="15" spans="1:2" x14ac:dyDescent="0.35">
      <c r="A15" s="98" t="s">
        <v>301</v>
      </c>
      <c r="B15" s="91" t="s">
        <v>805</v>
      </c>
    </row>
    <row r="16" spans="1:2" x14ac:dyDescent="0.35">
      <c r="A16" s="96" t="s">
        <v>302</v>
      </c>
      <c r="B16" s="91" t="s">
        <v>805</v>
      </c>
    </row>
    <row r="17" spans="1:2" x14ac:dyDescent="0.35">
      <c r="A17" s="96" t="s">
        <v>303</v>
      </c>
      <c r="B17" s="91" t="s">
        <v>805</v>
      </c>
    </row>
    <row r="18" spans="1:2" x14ac:dyDescent="0.35">
      <c r="A18" s="82" t="s">
        <v>304</v>
      </c>
      <c r="B18" s="91" t="s">
        <v>805</v>
      </c>
    </row>
    <row r="19" spans="1:2" x14ac:dyDescent="0.35">
      <c r="A19" s="82" t="s">
        <v>305</v>
      </c>
      <c r="B19" s="91">
        <v>0</v>
      </c>
    </row>
    <row r="20" spans="1:2" x14ac:dyDescent="0.35">
      <c r="A20" s="82" t="s">
        <v>306</v>
      </c>
      <c r="B20" s="91">
        <v>0</v>
      </c>
    </row>
    <row r="21" spans="1:2" x14ac:dyDescent="0.35">
      <c r="A21" s="82" t="s">
        <v>307</v>
      </c>
      <c r="B21" s="91">
        <v>0</v>
      </c>
    </row>
    <row r="22" spans="1:2" ht="29" x14ac:dyDescent="0.35">
      <c r="A22" s="95" t="s">
        <v>308</v>
      </c>
      <c r="B22" s="91">
        <v>0</v>
      </c>
    </row>
    <row r="23" spans="1:2" ht="29" x14ac:dyDescent="0.35">
      <c r="A23" s="95" t="s">
        <v>309</v>
      </c>
      <c r="B23" s="91">
        <v>0</v>
      </c>
    </row>
    <row r="24" spans="1:2" ht="29" x14ac:dyDescent="0.35">
      <c r="A24" s="95" t="s">
        <v>310</v>
      </c>
      <c r="B24" s="91">
        <v>0</v>
      </c>
    </row>
    <row r="25" spans="1:2" x14ac:dyDescent="0.35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>
    <tabColor theme="9"/>
  </sheetPr>
  <dimension ref="A2:CO103"/>
  <sheetViews>
    <sheetView tabSelected="1" topLeftCell="A60" zoomScale="85" zoomScaleNormal="85" workbookViewId="0">
      <selection activeCell="C71" sqref="C71"/>
    </sheetView>
  </sheetViews>
  <sheetFormatPr baseColWidth="10" defaultRowHeight="14.5" x14ac:dyDescent="0.35"/>
  <cols>
    <col min="1" max="1" width="55.7265625" customWidth="1"/>
    <col min="2" max="2" width="21.54296875" customWidth="1"/>
  </cols>
  <sheetData>
    <row r="2" spans="1:93" x14ac:dyDescent="0.35">
      <c r="G2">
        <v>20201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5">
      <c r="A6" s="85" t="s">
        <v>459</v>
      </c>
      <c r="B6" s="84" t="s">
        <v>460</v>
      </c>
    </row>
    <row r="7" spans="1:93" x14ac:dyDescent="0.35">
      <c r="A7" s="97" t="s">
        <v>215</v>
      </c>
      <c r="B7" s="84">
        <v>20204</v>
      </c>
    </row>
    <row r="8" spans="1:93" x14ac:dyDescent="0.35">
      <c r="A8" s="96" t="s">
        <v>216</v>
      </c>
      <c r="B8" s="84">
        <v>10021210</v>
      </c>
    </row>
    <row r="9" spans="1:93" x14ac:dyDescent="0.35">
      <c r="A9" s="98" t="s">
        <v>217</v>
      </c>
      <c r="B9" s="84">
        <v>604</v>
      </c>
    </row>
    <row r="10" spans="1:93" x14ac:dyDescent="0.35">
      <c r="A10" s="97" t="s">
        <v>461</v>
      </c>
      <c r="B10" s="90">
        <v>0</v>
      </c>
    </row>
    <row r="11" spans="1:93" x14ac:dyDescent="0.35">
      <c r="A11" s="97" t="s">
        <v>462</v>
      </c>
      <c r="B11" s="90">
        <v>0</v>
      </c>
    </row>
    <row r="12" spans="1:93" x14ac:dyDescent="0.35">
      <c r="A12" s="97" t="s">
        <v>463</v>
      </c>
      <c r="B12" s="90">
        <v>0</v>
      </c>
    </row>
    <row r="13" spans="1:93" x14ac:dyDescent="0.35">
      <c r="A13" s="97" t="s">
        <v>464</v>
      </c>
      <c r="B13" s="90">
        <v>0</v>
      </c>
    </row>
    <row r="14" spans="1:93" x14ac:dyDescent="0.35">
      <c r="A14" s="97" t="s">
        <v>465</v>
      </c>
      <c r="B14" s="90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19433</v>
      </c>
    </row>
    <row r="23" spans="1:2" ht="18" customHeight="1" x14ac:dyDescent="0.35">
      <c r="A23" s="97" t="s">
        <v>474</v>
      </c>
      <c r="B23" s="91">
        <v>199640193</v>
      </c>
    </row>
    <row r="24" spans="1:2" ht="18" customHeight="1" x14ac:dyDescent="0.35">
      <c r="A24" s="97" t="s">
        <v>475</v>
      </c>
      <c r="B24" s="91">
        <v>19093</v>
      </c>
    </row>
    <row r="25" spans="1:2" x14ac:dyDescent="0.35">
      <c r="A25" s="97" t="s">
        <v>476</v>
      </c>
      <c r="B25" s="90">
        <v>204572482</v>
      </c>
    </row>
    <row r="26" spans="1:2" x14ac:dyDescent="0.35">
      <c r="A26" s="97" t="s">
        <v>477</v>
      </c>
      <c r="B26" s="90">
        <v>18759</v>
      </c>
    </row>
    <row r="27" spans="1:2" x14ac:dyDescent="0.35">
      <c r="A27" s="97" t="s">
        <v>478</v>
      </c>
      <c r="B27" s="90">
        <v>339791190</v>
      </c>
    </row>
    <row r="28" spans="1:2" x14ac:dyDescent="0.35">
      <c r="A28" s="97" t="s">
        <v>479</v>
      </c>
      <c r="B28" s="90">
        <v>15740</v>
      </c>
    </row>
    <row r="29" spans="1:2" x14ac:dyDescent="0.35">
      <c r="A29" s="97" t="s">
        <v>480</v>
      </c>
      <c r="B29" s="90">
        <v>12170073</v>
      </c>
    </row>
    <row r="30" spans="1:2" x14ac:dyDescent="0.35">
      <c r="A30" s="97" t="s">
        <v>481</v>
      </c>
      <c r="B30" s="90">
        <v>16048</v>
      </c>
    </row>
    <row r="31" spans="1:2" x14ac:dyDescent="0.35">
      <c r="A31" s="97" t="s">
        <v>482</v>
      </c>
      <c r="B31" s="90">
        <v>12197473</v>
      </c>
    </row>
    <row r="32" spans="1:2" x14ac:dyDescent="0.35">
      <c r="A32" s="97" t="s">
        <v>483</v>
      </c>
      <c r="B32" s="90">
        <v>16238</v>
      </c>
    </row>
    <row r="33" spans="1:2" x14ac:dyDescent="0.35">
      <c r="A33" s="97" t="s">
        <v>484</v>
      </c>
      <c r="B33" s="90">
        <v>12855325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139">
        <v>376</v>
      </c>
    </row>
    <row r="65" spans="1:2" x14ac:dyDescent="0.35">
      <c r="A65" s="97" t="s">
        <v>516</v>
      </c>
      <c r="B65" s="139">
        <v>80860.258207999999</v>
      </c>
    </row>
    <row r="66" spans="1:2" x14ac:dyDescent="0.35">
      <c r="A66" s="97" t="s">
        <v>517</v>
      </c>
      <c r="B66" s="139">
        <v>421</v>
      </c>
    </row>
    <row r="67" spans="1:2" x14ac:dyDescent="0.35">
      <c r="A67" s="97" t="s">
        <v>518</v>
      </c>
      <c r="B67" s="139">
        <v>89218.783528</v>
      </c>
    </row>
    <row r="68" spans="1:2" x14ac:dyDescent="0.35">
      <c r="A68" s="97" t="s">
        <v>519</v>
      </c>
      <c r="B68" s="139">
        <v>331</v>
      </c>
    </row>
    <row r="69" spans="1:2" x14ac:dyDescent="0.35">
      <c r="A69" s="97" t="s">
        <v>520</v>
      </c>
      <c r="B69" s="139">
        <v>75233.013911999995</v>
      </c>
    </row>
    <row r="70" spans="1:2" x14ac:dyDescent="0.35">
      <c r="A70" s="97" t="s">
        <v>521</v>
      </c>
      <c r="B70" s="139">
        <v>0</v>
      </c>
    </row>
    <row r="71" spans="1:2" x14ac:dyDescent="0.35">
      <c r="A71" s="97" t="s">
        <v>522</v>
      </c>
      <c r="B71" s="139">
        <v>0</v>
      </c>
    </row>
    <row r="72" spans="1:2" x14ac:dyDescent="0.35">
      <c r="A72" s="97" t="s">
        <v>523</v>
      </c>
      <c r="B72" s="139">
        <v>0</v>
      </c>
    </row>
    <row r="73" spans="1:2" x14ac:dyDescent="0.35">
      <c r="A73" s="97" t="s">
        <v>524</v>
      </c>
      <c r="B73" s="139">
        <v>0</v>
      </c>
    </row>
    <row r="74" spans="1:2" x14ac:dyDescent="0.35">
      <c r="A74" s="97" t="s">
        <v>525</v>
      </c>
      <c r="B74" s="139">
        <v>0</v>
      </c>
    </row>
    <row r="75" spans="1:2" x14ac:dyDescent="0.35">
      <c r="A75" s="97" t="s">
        <v>526</v>
      </c>
      <c r="B75" s="139">
        <v>0</v>
      </c>
    </row>
    <row r="76" spans="1:2" x14ac:dyDescent="0.35">
      <c r="A76" s="97" t="s">
        <v>527</v>
      </c>
      <c r="B76" s="139">
        <v>0</v>
      </c>
    </row>
    <row r="77" spans="1:2" x14ac:dyDescent="0.35">
      <c r="A77" s="97" t="s">
        <v>528</v>
      </c>
      <c r="B77" s="139">
        <v>0</v>
      </c>
    </row>
    <row r="78" spans="1:2" x14ac:dyDescent="0.35">
      <c r="A78" s="97" t="s">
        <v>529</v>
      </c>
      <c r="B78" s="139">
        <v>0</v>
      </c>
    </row>
    <row r="79" spans="1:2" x14ac:dyDescent="0.35">
      <c r="A79" s="97" t="s">
        <v>530</v>
      </c>
      <c r="B79" s="139">
        <v>0</v>
      </c>
    </row>
    <row r="80" spans="1:2" x14ac:dyDescent="0.35">
      <c r="A80" s="97" t="s">
        <v>531</v>
      </c>
      <c r="B80" s="139">
        <v>0</v>
      </c>
    </row>
    <row r="81" spans="1:2" x14ac:dyDescent="0.35">
      <c r="A81" s="97" t="s">
        <v>532</v>
      </c>
      <c r="B81" s="139">
        <v>0</v>
      </c>
    </row>
    <row r="82" spans="1:2" x14ac:dyDescent="0.35">
      <c r="A82" s="97" t="s">
        <v>533</v>
      </c>
      <c r="B82" s="139">
        <v>0</v>
      </c>
    </row>
    <row r="83" spans="1:2" x14ac:dyDescent="0.35">
      <c r="A83" s="97" t="s">
        <v>534</v>
      </c>
      <c r="B83" s="139">
        <v>0</v>
      </c>
    </row>
    <row r="84" spans="1:2" x14ac:dyDescent="0.35">
      <c r="A84" s="97" t="s">
        <v>535</v>
      </c>
      <c r="B84" s="139">
        <v>0</v>
      </c>
    </row>
    <row r="85" spans="1:2" x14ac:dyDescent="0.35">
      <c r="A85" s="97" t="s">
        <v>536</v>
      </c>
      <c r="B85" s="139">
        <v>0</v>
      </c>
    </row>
    <row r="86" spans="1:2" x14ac:dyDescent="0.35">
      <c r="A86" s="97" t="s">
        <v>537</v>
      </c>
      <c r="B86" s="139">
        <v>0</v>
      </c>
    </row>
    <row r="87" spans="1:2" x14ac:dyDescent="0.35">
      <c r="A87" s="97" t="s">
        <v>538</v>
      </c>
      <c r="B87" s="139">
        <v>0</v>
      </c>
    </row>
    <row r="88" spans="1:2" x14ac:dyDescent="0.35">
      <c r="A88" s="97" t="s">
        <v>539</v>
      </c>
      <c r="B88" s="139">
        <v>28533</v>
      </c>
    </row>
    <row r="89" spans="1:2" x14ac:dyDescent="0.35">
      <c r="A89" s="97" t="s">
        <v>540</v>
      </c>
      <c r="B89" s="139">
        <v>5767999.4651680002</v>
      </c>
    </row>
    <row r="90" spans="1:2" x14ac:dyDescent="0.35">
      <c r="A90" s="97" t="s">
        <v>541</v>
      </c>
      <c r="B90" s="139">
        <v>24468</v>
      </c>
    </row>
    <row r="91" spans="1:2" x14ac:dyDescent="0.35">
      <c r="A91" s="97" t="s">
        <v>542</v>
      </c>
      <c r="B91" s="139">
        <v>5235296.4782992005</v>
      </c>
    </row>
    <row r="92" spans="1:2" x14ac:dyDescent="0.35">
      <c r="A92" s="97" t="s">
        <v>543</v>
      </c>
      <c r="B92" s="139">
        <v>30812</v>
      </c>
    </row>
    <row r="93" spans="1:2" x14ac:dyDescent="0.35">
      <c r="A93" s="97" t="s">
        <v>544</v>
      </c>
      <c r="B93" s="139">
        <v>7069934.9376079999</v>
      </c>
    </row>
    <row r="94" spans="1:2" x14ac:dyDescent="0.35">
      <c r="B94" s="90"/>
    </row>
    <row r="95" spans="1:2" x14ac:dyDescent="0.35">
      <c r="B95" s="90"/>
    </row>
    <row r="96" spans="1:2" x14ac:dyDescent="0.35">
      <c r="B96" s="90"/>
    </row>
    <row r="97" spans="2:2" x14ac:dyDescent="0.35">
      <c r="B97" s="90"/>
    </row>
    <row r="98" spans="2:2" x14ac:dyDescent="0.35">
      <c r="B98" s="90"/>
    </row>
    <row r="99" spans="2:2" x14ac:dyDescent="0.35">
      <c r="B99" s="90"/>
    </row>
    <row r="100" spans="2:2" x14ac:dyDescent="0.35">
      <c r="B100" s="90"/>
    </row>
    <row r="101" spans="2:2" x14ac:dyDescent="0.35">
      <c r="B101" s="90"/>
    </row>
    <row r="102" spans="2:2" x14ac:dyDescent="0.35">
      <c r="B102" s="90"/>
    </row>
    <row r="103" spans="2:2" x14ac:dyDescent="0.35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5">
    <tabColor theme="9"/>
  </sheetPr>
  <dimension ref="A2:CO93"/>
  <sheetViews>
    <sheetView topLeftCell="A62" zoomScaleNormal="100" workbookViewId="0">
      <selection activeCell="A91" sqref="A91"/>
    </sheetView>
  </sheetViews>
  <sheetFormatPr baseColWidth="10" defaultRowHeight="14.5" x14ac:dyDescent="0.35"/>
  <cols>
    <col min="1" max="1" width="56" customWidth="1"/>
    <col min="2" max="2" width="21.54296875" customWidth="1"/>
    <col min="3" max="3" width="11.6328125" bestFit="1" customWidth="1"/>
  </cols>
  <sheetData>
    <row r="2" spans="1:93" x14ac:dyDescent="0.35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5" customHeight="1" x14ac:dyDescent="0.35">
      <c r="A6" s="131" t="s">
        <v>545</v>
      </c>
      <c r="B6" s="90" t="s">
        <v>546</v>
      </c>
    </row>
    <row r="7" spans="1:93" x14ac:dyDescent="0.35">
      <c r="A7" s="97" t="s">
        <v>215</v>
      </c>
      <c r="B7" s="139" t="s">
        <v>815</v>
      </c>
    </row>
    <row r="8" spans="1:93" x14ac:dyDescent="0.35">
      <c r="A8" s="96" t="s">
        <v>216</v>
      </c>
      <c r="B8" s="139">
        <v>10021210</v>
      </c>
    </row>
    <row r="9" spans="1:93" x14ac:dyDescent="0.35">
      <c r="A9" s="98" t="s">
        <v>217</v>
      </c>
      <c r="B9" s="139">
        <v>604</v>
      </c>
    </row>
    <row r="10" spans="1:93" x14ac:dyDescent="0.35">
      <c r="A10" s="97" t="s">
        <v>461</v>
      </c>
      <c r="B10" s="140">
        <v>0</v>
      </c>
    </row>
    <row r="11" spans="1:93" x14ac:dyDescent="0.35">
      <c r="A11" s="97" t="s">
        <v>462</v>
      </c>
      <c r="B11" s="140">
        <v>0</v>
      </c>
    </row>
    <row r="12" spans="1:93" x14ac:dyDescent="0.35">
      <c r="A12" s="97" t="s">
        <v>463</v>
      </c>
      <c r="B12" s="140">
        <v>0</v>
      </c>
    </row>
    <row r="13" spans="1:93" x14ac:dyDescent="0.35">
      <c r="A13" s="97" t="s">
        <v>464</v>
      </c>
      <c r="B13" s="140">
        <v>0</v>
      </c>
    </row>
    <row r="14" spans="1:93" x14ac:dyDescent="0.35">
      <c r="A14" s="97" t="s">
        <v>465</v>
      </c>
      <c r="B14" s="140">
        <v>0</v>
      </c>
    </row>
    <row r="15" spans="1:93" x14ac:dyDescent="0.35">
      <c r="A15" s="97" t="s">
        <v>466</v>
      </c>
      <c r="B15" s="140">
        <v>0</v>
      </c>
    </row>
    <row r="16" spans="1:93" x14ac:dyDescent="0.35">
      <c r="A16" s="97" t="s">
        <v>467</v>
      </c>
      <c r="B16" s="140">
        <v>0</v>
      </c>
    </row>
    <row r="17" spans="1:2" x14ac:dyDescent="0.35">
      <c r="A17" s="97" t="s">
        <v>468</v>
      </c>
      <c r="B17" s="140">
        <v>0</v>
      </c>
    </row>
    <row r="18" spans="1:2" x14ac:dyDescent="0.35">
      <c r="A18" s="97" t="s">
        <v>469</v>
      </c>
      <c r="B18" s="140">
        <v>0</v>
      </c>
    </row>
    <row r="19" spans="1:2" x14ac:dyDescent="0.35">
      <c r="A19" s="97" t="s">
        <v>470</v>
      </c>
      <c r="B19" s="140">
        <v>0</v>
      </c>
    </row>
    <row r="20" spans="1:2" x14ac:dyDescent="0.35">
      <c r="A20" s="97" t="s">
        <v>471</v>
      </c>
      <c r="B20" s="140">
        <v>0</v>
      </c>
    </row>
    <row r="21" spans="1:2" x14ac:dyDescent="0.35">
      <c r="A21" s="97" t="s">
        <v>472</v>
      </c>
      <c r="B21" s="140">
        <v>0</v>
      </c>
    </row>
    <row r="22" spans="1:2" ht="18" customHeight="1" x14ac:dyDescent="0.35">
      <c r="A22" s="97" t="s">
        <v>473</v>
      </c>
      <c r="B22" s="140">
        <v>0</v>
      </c>
    </row>
    <row r="23" spans="1:2" ht="18" customHeight="1" x14ac:dyDescent="0.35">
      <c r="A23" s="97" t="s">
        <v>474</v>
      </c>
      <c r="B23" s="140">
        <v>0</v>
      </c>
    </row>
    <row r="24" spans="1:2" ht="18" customHeight="1" x14ac:dyDescent="0.35">
      <c r="A24" s="97" t="s">
        <v>475</v>
      </c>
      <c r="B24" s="140">
        <v>0</v>
      </c>
    </row>
    <row r="25" spans="1:2" x14ac:dyDescent="0.35">
      <c r="A25" s="97" t="s">
        <v>476</v>
      </c>
      <c r="B25" s="140">
        <v>0</v>
      </c>
    </row>
    <row r="26" spans="1:2" x14ac:dyDescent="0.35">
      <c r="A26" s="97" t="s">
        <v>477</v>
      </c>
      <c r="B26" s="140">
        <v>0</v>
      </c>
    </row>
    <row r="27" spans="1:2" x14ac:dyDescent="0.35">
      <c r="A27" s="97" t="s">
        <v>478</v>
      </c>
      <c r="B27" s="139">
        <v>0</v>
      </c>
    </row>
    <row r="28" spans="1:2" x14ac:dyDescent="0.35">
      <c r="A28" s="97" t="s">
        <v>479</v>
      </c>
      <c r="B28" s="139">
        <v>5692517</v>
      </c>
    </row>
    <row r="29" spans="1:2" x14ac:dyDescent="0.35">
      <c r="A29" s="97" t="s">
        <v>480</v>
      </c>
      <c r="B29" s="139">
        <v>1630827391</v>
      </c>
    </row>
    <row r="30" spans="1:2" x14ac:dyDescent="0.35">
      <c r="A30" s="97" t="s">
        <v>481</v>
      </c>
      <c r="B30" s="139">
        <v>5482557</v>
      </c>
    </row>
    <row r="31" spans="1:2" x14ac:dyDescent="0.35">
      <c r="A31" s="97" t="s">
        <v>482</v>
      </c>
      <c r="B31" s="139">
        <v>1487012560</v>
      </c>
    </row>
    <row r="32" spans="1:2" x14ac:dyDescent="0.35">
      <c r="A32" s="97" t="s">
        <v>483</v>
      </c>
      <c r="B32" s="139">
        <v>6693136</v>
      </c>
    </row>
    <row r="33" spans="1:2" x14ac:dyDescent="0.35">
      <c r="A33" s="97" t="s">
        <v>484</v>
      </c>
      <c r="B33" s="139">
        <v>1246902992</v>
      </c>
    </row>
    <row r="34" spans="1:2" x14ac:dyDescent="0.35">
      <c r="A34" s="97" t="s">
        <v>485</v>
      </c>
      <c r="B34" s="139">
        <v>0</v>
      </c>
    </row>
    <row r="35" spans="1:2" x14ac:dyDescent="0.35">
      <c r="A35" s="97" t="s">
        <v>486</v>
      </c>
      <c r="B35" s="139">
        <v>0</v>
      </c>
    </row>
    <row r="36" spans="1:2" x14ac:dyDescent="0.35">
      <c r="A36" s="97" t="s">
        <v>487</v>
      </c>
      <c r="B36" s="139">
        <v>0</v>
      </c>
    </row>
    <row r="37" spans="1:2" x14ac:dyDescent="0.35">
      <c r="A37" s="97" t="s">
        <v>488</v>
      </c>
      <c r="B37" s="139">
        <v>0</v>
      </c>
    </row>
    <row r="38" spans="1:2" x14ac:dyDescent="0.35">
      <c r="A38" s="97" t="s">
        <v>489</v>
      </c>
      <c r="B38" s="139">
        <v>0</v>
      </c>
    </row>
    <row r="39" spans="1:2" x14ac:dyDescent="0.35">
      <c r="A39" s="97" t="s">
        <v>490</v>
      </c>
      <c r="B39" s="139">
        <v>0</v>
      </c>
    </row>
    <row r="40" spans="1:2" x14ac:dyDescent="0.35">
      <c r="A40" s="97" t="s">
        <v>491</v>
      </c>
      <c r="B40" s="139">
        <v>0</v>
      </c>
    </row>
    <row r="41" spans="1:2" x14ac:dyDescent="0.35">
      <c r="A41" s="97" t="s">
        <v>492</v>
      </c>
      <c r="B41" s="139">
        <v>0</v>
      </c>
    </row>
    <row r="42" spans="1:2" x14ac:dyDescent="0.35">
      <c r="A42" s="97" t="s">
        <v>493</v>
      </c>
      <c r="B42" s="139">
        <v>0</v>
      </c>
    </row>
    <row r="43" spans="1:2" x14ac:dyDescent="0.35">
      <c r="A43" s="97" t="s">
        <v>494</v>
      </c>
      <c r="B43" s="139">
        <v>0</v>
      </c>
    </row>
    <row r="44" spans="1:2" x14ac:dyDescent="0.35">
      <c r="A44" s="97" t="s">
        <v>495</v>
      </c>
      <c r="B44" s="139">
        <v>0</v>
      </c>
    </row>
    <row r="45" spans="1:2" x14ac:dyDescent="0.35">
      <c r="A45" s="97" t="s">
        <v>496</v>
      </c>
      <c r="B45" s="139">
        <v>0</v>
      </c>
    </row>
    <row r="46" spans="1:2" x14ac:dyDescent="0.35">
      <c r="A46" s="97" t="s">
        <v>497</v>
      </c>
      <c r="B46" s="139">
        <v>0</v>
      </c>
    </row>
    <row r="47" spans="1:2" x14ac:dyDescent="0.35">
      <c r="A47" s="97" t="s">
        <v>498</v>
      </c>
      <c r="B47" s="139">
        <v>0</v>
      </c>
    </row>
    <row r="48" spans="1:2" x14ac:dyDescent="0.35">
      <c r="A48" s="97" t="s">
        <v>499</v>
      </c>
      <c r="B48" s="139">
        <v>0</v>
      </c>
    </row>
    <row r="49" spans="1:2" x14ac:dyDescent="0.35">
      <c r="A49" s="97" t="s">
        <v>500</v>
      </c>
      <c r="B49" s="139">
        <v>0</v>
      </c>
    </row>
    <row r="50" spans="1:2" x14ac:dyDescent="0.35">
      <c r="A50" s="97" t="s">
        <v>501</v>
      </c>
      <c r="B50" s="139">
        <v>0</v>
      </c>
    </row>
    <row r="51" spans="1:2" x14ac:dyDescent="0.35">
      <c r="A51" s="97" t="s">
        <v>502</v>
      </c>
      <c r="B51" s="139">
        <v>0</v>
      </c>
    </row>
    <row r="52" spans="1:2" x14ac:dyDescent="0.35">
      <c r="A52" s="97" t="s">
        <v>503</v>
      </c>
      <c r="B52" s="139">
        <v>0</v>
      </c>
    </row>
    <row r="53" spans="1:2" x14ac:dyDescent="0.35">
      <c r="A53" s="97" t="s">
        <v>504</v>
      </c>
      <c r="B53" s="139">
        <v>0</v>
      </c>
    </row>
    <row r="54" spans="1:2" x14ac:dyDescent="0.35">
      <c r="A54" s="97" t="s">
        <v>505</v>
      </c>
      <c r="B54" s="139">
        <v>0</v>
      </c>
    </row>
    <row r="55" spans="1:2" x14ac:dyDescent="0.35">
      <c r="A55" s="97" t="s">
        <v>506</v>
      </c>
      <c r="B55" s="139">
        <v>0</v>
      </c>
    </row>
    <row r="56" spans="1:2" x14ac:dyDescent="0.35">
      <c r="A56" s="97" t="s">
        <v>507</v>
      </c>
      <c r="B56" s="139">
        <v>0</v>
      </c>
    </row>
    <row r="57" spans="1:2" x14ac:dyDescent="0.35">
      <c r="A57" s="97" t="s">
        <v>508</v>
      </c>
      <c r="B57" s="139">
        <v>0</v>
      </c>
    </row>
    <row r="58" spans="1:2" x14ac:dyDescent="0.35">
      <c r="A58" s="97" t="s">
        <v>509</v>
      </c>
      <c r="B58" s="139">
        <v>0</v>
      </c>
    </row>
    <row r="59" spans="1:2" x14ac:dyDescent="0.35">
      <c r="A59" s="97" t="s">
        <v>510</v>
      </c>
      <c r="B59" s="139">
        <v>0</v>
      </c>
    </row>
    <row r="60" spans="1:2" x14ac:dyDescent="0.35">
      <c r="A60" s="97" t="s">
        <v>511</v>
      </c>
      <c r="B60" s="139">
        <v>0</v>
      </c>
    </row>
    <row r="61" spans="1:2" x14ac:dyDescent="0.35">
      <c r="A61" s="97" t="s">
        <v>512</v>
      </c>
      <c r="B61" s="139">
        <v>0</v>
      </c>
    </row>
    <row r="62" spans="1:2" x14ac:dyDescent="0.35">
      <c r="A62" s="97" t="s">
        <v>513</v>
      </c>
      <c r="B62" s="139">
        <v>0</v>
      </c>
    </row>
    <row r="63" spans="1:2" x14ac:dyDescent="0.35">
      <c r="A63" s="97" t="s">
        <v>514</v>
      </c>
      <c r="B63" s="139">
        <v>0</v>
      </c>
    </row>
    <row r="64" spans="1:2" x14ac:dyDescent="0.35">
      <c r="A64" s="97" t="s">
        <v>515</v>
      </c>
      <c r="B64" s="139">
        <v>98813</v>
      </c>
    </row>
    <row r="65" spans="1:3" x14ac:dyDescent="0.35">
      <c r="A65" s="97" t="s">
        <v>516</v>
      </c>
      <c r="B65" s="139">
        <v>18491886.612124</v>
      </c>
      <c r="C65" s="138"/>
    </row>
    <row r="66" spans="1:3" x14ac:dyDescent="0.35">
      <c r="A66" s="97" t="s">
        <v>517</v>
      </c>
      <c r="B66" s="139">
        <v>92941</v>
      </c>
    </row>
    <row r="67" spans="1:3" x14ac:dyDescent="0.35">
      <c r="A67" s="97" t="s">
        <v>518</v>
      </c>
      <c r="B67" s="139">
        <v>17045505.497487999</v>
      </c>
    </row>
    <row r="68" spans="1:3" x14ac:dyDescent="0.35">
      <c r="A68" s="97" t="s">
        <v>519</v>
      </c>
      <c r="B68" s="139">
        <v>114375</v>
      </c>
    </row>
    <row r="69" spans="1:3" x14ac:dyDescent="0.35">
      <c r="A69" s="97" t="s">
        <v>520</v>
      </c>
      <c r="B69" s="139">
        <v>23148374.457419999</v>
      </c>
    </row>
    <row r="70" spans="1:3" x14ac:dyDescent="0.35">
      <c r="A70" s="97" t="s">
        <v>521</v>
      </c>
      <c r="B70" s="139">
        <v>0</v>
      </c>
    </row>
    <row r="71" spans="1:3" x14ac:dyDescent="0.35">
      <c r="A71" s="97" t="s">
        <v>522</v>
      </c>
      <c r="B71" s="139">
        <v>0</v>
      </c>
    </row>
    <row r="72" spans="1:3" x14ac:dyDescent="0.35">
      <c r="A72" s="97" t="s">
        <v>523</v>
      </c>
      <c r="B72" s="139">
        <v>0</v>
      </c>
    </row>
    <row r="73" spans="1:3" x14ac:dyDescent="0.35">
      <c r="A73" s="97" t="s">
        <v>524</v>
      </c>
      <c r="B73" s="139">
        <v>0</v>
      </c>
    </row>
    <row r="74" spans="1:3" x14ac:dyDescent="0.35">
      <c r="A74" s="97" t="s">
        <v>525</v>
      </c>
      <c r="B74" s="139">
        <v>0</v>
      </c>
    </row>
    <row r="75" spans="1:3" x14ac:dyDescent="0.35">
      <c r="A75" s="97" t="s">
        <v>526</v>
      </c>
      <c r="B75" s="139">
        <v>0</v>
      </c>
    </row>
    <row r="76" spans="1:3" x14ac:dyDescent="0.35">
      <c r="A76" s="97" t="s">
        <v>527</v>
      </c>
      <c r="B76" s="139">
        <v>0</v>
      </c>
    </row>
    <row r="77" spans="1:3" x14ac:dyDescent="0.35">
      <c r="A77" s="97" t="s">
        <v>528</v>
      </c>
      <c r="B77" s="139">
        <v>0</v>
      </c>
    </row>
    <row r="78" spans="1:3" x14ac:dyDescent="0.35">
      <c r="A78" s="97" t="s">
        <v>529</v>
      </c>
      <c r="B78" s="139">
        <v>0</v>
      </c>
    </row>
    <row r="79" spans="1:3" x14ac:dyDescent="0.35">
      <c r="A79" s="97" t="s">
        <v>530</v>
      </c>
      <c r="B79" s="139">
        <v>0</v>
      </c>
    </row>
    <row r="80" spans="1:3" x14ac:dyDescent="0.35">
      <c r="A80" s="97" t="s">
        <v>531</v>
      </c>
      <c r="B80" s="139">
        <v>0</v>
      </c>
    </row>
    <row r="81" spans="1:2" x14ac:dyDescent="0.35">
      <c r="A81" s="97" t="s">
        <v>532</v>
      </c>
      <c r="B81" s="139">
        <v>0</v>
      </c>
    </row>
    <row r="82" spans="1:2" x14ac:dyDescent="0.35">
      <c r="A82" s="97" t="s">
        <v>533</v>
      </c>
      <c r="B82" s="139">
        <v>0</v>
      </c>
    </row>
    <row r="83" spans="1:2" x14ac:dyDescent="0.35">
      <c r="A83" s="97" t="s">
        <v>534</v>
      </c>
      <c r="B83" s="139">
        <v>0</v>
      </c>
    </row>
    <row r="84" spans="1:2" x14ac:dyDescent="0.35">
      <c r="A84" s="97" t="s">
        <v>535</v>
      </c>
      <c r="B84" s="139">
        <v>0</v>
      </c>
    </row>
    <row r="85" spans="1:2" x14ac:dyDescent="0.35">
      <c r="A85" s="97" t="s">
        <v>536</v>
      </c>
      <c r="B85" s="139">
        <v>0</v>
      </c>
    </row>
    <row r="86" spans="1:2" x14ac:dyDescent="0.35">
      <c r="A86" s="97" t="s">
        <v>537</v>
      </c>
      <c r="B86" s="139">
        <v>0</v>
      </c>
    </row>
    <row r="87" spans="1:2" x14ac:dyDescent="0.35">
      <c r="A87" s="97" t="s">
        <v>538</v>
      </c>
      <c r="B87" s="139">
        <v>0</v>
      </c>
    </row>
    <row r="88" spans="1:2" x14ac:dyDescent="0.35">
      <c r="A88" s="97" t="s">
        <v>539</v>
      </c>
      <c r="B88" s="139">
        <v>8192</v>
      </c>
    </row>
    <row r="89" spans="1:2" x14ac:dyDescent="0.35">
      <c r="A89" s="97" t="s">
        <v>540</v>
      </c>
      <c r="B89" s="139">
        <v>6930825.3810898</v>
      </c>
    </row>
    <row r="90" spans="1:2" x14ac:dyDescent="0.35">
      <c r="A90" s="97" t="s">
        <v>541</v>
      </c>
      <c r="B90" s="139">
        <v>8490</v>
      </c>
    </row>
    <row r="91" spans="1:2" x14ac:dyDescent="0.35">
      <c r="A91" s="97" t="s">
        <v>542</v>
      </c>
      <c r="B91" s="139">
        <v>7120347.2255231999</v>
      </c>
    </row>
    <row r="92" spans="1:2" x14ac:dyDescent="0.35">
      <c r="A92" s="97" t="s">
        <v>543</v>
      </c>
      <c r="B92" s="139">
        <v>10753</v>
      </c>
    </row>
    <row r="93" spans="1:2" x14ac:dyDescent="0.35">
      <c r="A93" s="97" t="s">
        <v>544</v>
      </c>
      <c r="B93" s="139">
        <v>8684781.7441884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6:E189"/>
  <sheetViews>
    <sheetView zoomScaleNormal="100" workbookViewId="0">
      <selection activeCell="C61" sqref="C61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9120</v>
      </c>
      <c r="C37" s="80">
        <v>8871</v>
      </c>
      <c r="D37" s="80">
        <v>8680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32075773</v>
      </c>
      <c r="C39" s="101">
        <v>29633383</v>
      </c>
      <c r="D39" s="101">
        <v>30112409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9539</v>
      </c>
      <c r="C41" s="101">
        <v>9601</v>
      </c>
      <c r="D41" s="101">
        <v>9739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5508566</v>
      </c>
      <c r="C43" s="101">
        <v>5332471</v>
      </c>
      <c r="D43" s="101">
        <v>5595112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508403</v>
      </c>
      <c r="C46" s="90">
        <v>572432</v>
      </c>
      <c r="D46" s="90">
        <v>836921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78415825</v>
      </c>
      <c r="C48" s="90">
        <v>85621260</v>
      </c>
      <c r="D48" s="90">
        <v>122219463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2218</v>
      </c>
      <c r="C72" s="90">
        <v>2145</v>
      </c>
      <c r="D72" s="90">
        <v>2192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270861</v>
      </c>
      <c r="C74" s="90">
        <v>288743</v>
      </c>
      <c r="D74" s="90">
        <v>359772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73102</v>
      </c>
      <c r="C77" s="80">
        <v>82370</v>
      </c>
      <c r="D77" s="80">
        <v>113240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7723051</v>
      </c>
      <c r="C79" s="80">
        <v>9055860</v>
      </c>
      <c r="D79" s="80">
        <v>12358789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94</v>
      </c>
      <c r="C101" s="90">
        <v>90</v>
      </c>
      <c r="D101" s="90">
        <v>218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67450</v>
      </c>
      <c r="C103" s="80">
        <v>29443</v>
      </c>
      <c r="D103" s="80">
        <v>61508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44699606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1768467</v>
      </c>
    </row>
    <row r="118" spans="1:2" x14ac:dyDescent="0.35">
      <c r="A118" s="82" t="s">
        <v>276</v>
      </c>
      <c r="B118" s="80">
        <v>2326543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244015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108205</v>
      </c>
    </row>
    <row r="133" spans="1:3" x14ac:dyDescent="0.35">
      <c r="A133" s="82" t="s">
        <v>289</v>
      </c>
      <c r="B133" s="80">
        <v>452088549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104974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144841</v>
      </c>
      <c r="C143" s="80">
        <v>413362232</v>
      </c>
    </row>
    <row r="144" spans="1:3" x14ac:dyDescent="0.35">
      <c r="A144" s="82" t="s">
        <v>297</v>
      </c>
      <c r="B144" s="80">
        <v>3385</v>
      </c>
      <c r="C144" s="80">
        <v>644984</v>
      </c>
    </row>
    <row r="145" spans="1:3" x14ac:dyDescent="0.35">
      <c r="A145" s="82" t="s">
        <v>298</v>
      </c>
      <c r="B145" s="80">
        <v>75</v>
      </c>
      <c r="C145" s="80">
        <v>5353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5</v>
      </c>
      <c r="C147" s="80">
        <v>370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/>
  <dimension ref="A1:E135"/>
  <sheetViews>
    <sheetView topLeftCell="A77" zoomScaleNormal="100" workbookViewId="0">
      <selection activeCell="C88" sqref="C88:C95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1" spans="1:5" x14ac:dyDescent="0.35">
      <c r="C1" s="137"/>
    </row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20204</v>
      </c>
      <c r="C7" s="137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D9" s="84"/>
      <c r="E9" s="84"/>
    </row>
    <row r="10" spans="1:5" x14ac:dyDescent="0.35">
      <c r="A10" s="82" t="s">
        <v>218</v>
      </c>
      <c r="B10" s="92">
        <v>2</v>
      </c>
      <c r="D10" s="84"/>
      <c r="E10" s="84"/>
    </row>
    <row r="11" spans="1:5" x14ac:dyDescent="0.35">
      <c r="A11" s="82" t="s">
        <v>219</v>
      </c>
      <c r="B11" s="92" t="s">
        <v>87</v>
      </c>
      <c r="D11" s="84"/>
      <c r="E11" s="84"/>
    </row>
    <row r="12" spans="1:5" x14ac:dyDescent="0.35">
      <c r="A12" s="82" t="s">
        <v>99</v>
      </c>
      <c r="B12" s="90">
        <v>0</v>
      </c>
      <c r="D12" s="84"/>
      <c r="E12" s="84"/>
    </row>
    <row r="13" spans="1:5" x14ac:dyDescent="0.35">
      <c r="A13" s="82" t="s">
        <v>100</v>
      </c>
      <c r="B13" s="90">
        <v>0</v>
      </c>
      <c r="C13" s="137"/>
      <c r="D13" s="84"/>
      <c r="E13" s="84"/>
    </row>
    <row r="14" spans="1:5" x14ac:dyDescent="0.35">
      <c r="A14" s="82" t="s">
        <v>101</v>
      </c>
      <c r="B14" s="90">
        <v>0</v>
      </c>
      <c r="D14" s="84"/>
      <c r="E14" s="84"/>
    </row>
    <row r="15" spans="1:5" x14ac:dyDescent="0.35">
      <c r="A15" s="82" t="s">
        <v>102</v>
      </c>
      <c r="B15" s="90">
        <v>0</v>
      </c>
      <c r="D15" s="84"/>
      <c r="E15" s="84"/>
    </row>
    <row r="16" spans="1:5" x14ac:dyDescent="0.35">
      <c r="A16" s="82" t="s">
        <v>103</v>
      </c>
      <c r="B16" s="90">
        <v>0</v>
      </c>
      <c r="D16" s="84"/>
      <c r="E16" s="84"/>
    </row>
    <row r="17" spans="1:5" x14ac:dyDescent="0.35">
      <c r="A17" s="82" t="s">
        <v>104</v>
      </c>
      <c r="B17" s="90">
        <v>0</v>
      </c>
      <c r="D17" s="84"/>
      <c r="E17" s="84"/>
    </row>
    <row r="18" spans="1:5" x14ac:dyDescent="0.35">
      <c r="A18" s="82" t="s">
        <v>105</v>
      </c>
      <c r="B18" s="92">
        <v>9120</v>
      </c>
      <c r="D18" s="84"/>
      <c r="E18" s="84"/>
    </row>
    <row r="19" spans="1:5" x14ac:dyDescent="0.35">
      <c r="A19" s="82" t="s">
        <v>106</v>
      </c>
      <c r="B19" s="92">
        <v>32075773</v>
      </c>
      <c r="C19" s="137"/>
      <c r="D19" s="84"/>
      <c r="E19" s="84"/>
    </row>
    <row r="20" spans="1:5" x14ac:dyDescent="0.35">
      <c r="A20" s="82" t="s">
        <v>107</v>
      </c>
      <c r="B20" s="92">
        <v>8871</v>
      </c>
      <c r="D20" s="84"/>
      <c r="E20" s="84"/>
    </row>
    <row r="21" spans="1:5" x14ac:dyDescent="0.35">
      <c r="A21" s="82" t="s">
        <v>108</v>
      </c>
      <c r="B21" s="92">
        <v>29633383</v>
      </c>
      <c r="D21" s="84"/>
      <c r="E21" s="84"/>
    </row>
    <row r="22" spans="1:5" x14ac:dyDescent="0.35">
      <c r="A22" s="82" t="s">
        <v>109</v>
      </c>
      <c r="B22" s="92">
        <v>8680</v>
      </c>
      <c r="D22" s="84"/>
      <c r="E22" s="84"/>
    </row>
    <row r="23" spans="1:5" x14ac:dyDescent="0.35">
      <c r="A23" s="82" t="s">
        <v>110</v>
      </c>
      <c r="B23" s="92">
        <v>30112409</v>
      </c>
      <c r="D23" s="84"/>
      <c r="E23" s="84"/>
    </row>
    <row r="24" spans="1:5" x14ac:dyDescent="0.35">
      <c r="A24" s="82" t="s">
        <v>111</v>
      </c>
      <c r="B24" s="92">
        <v>9539</v>
      </c>
    </row>
    <row r="25" spans="1:5" x14ac:dyDescent="0.35">
      <c r="A25" s="82" t="s">
        <v>112</v>
      </c>
      <c r="B25" s="92">
        <v>5508566</v>
      </c>
      <c r="C25" s="137"/>
    </row>
    <row r="26" spans="1:5" x14ac:dyDescent="0.35">
      <c r="A26" s="82" t="s">
        <v>113</v>
      </c>
      <c r="B26" s="92">
        <v>9601</v>
      </c>
    </row>
    <row r="27" spans="1:5" x14ac:dyDescent="0.35">
      <c r="A27" s="82" t="s">
        <v>114</v>
      </c>
      <c r="B27" s="92">
        <v>5332471</v>
      </c>
    </row>
    <row r="28" spans="1:5" x14ac:dyDescent="0.35">
      <c r="A28" s="82" t="s">
        <v>115</v>
      </c>
      <c r="B28" s="92">
        <v>9739</v>
      </c>
    </row>
    <row r="29" spans="1:5" x14ac:dyDescent="0.35">
      <c r="A29" s="82" t="s">
        <v>116</v>
      </c>
      <c r="B29" s="92">
        <v>5595112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  <c r="C31" s="137"/>
    </row>
    <row r="32" spans="1:5" x14ac:dyDescent="0.35">
      <c r="A32" s="82" t="s">
        <v>119</v>
      </c>
      <c r="B32" s="90">
        <v>0</v>
      </c>
    </row>
    <row r="33" spans="1:3" x14ac:dyDescent="0.35">
      <c r="A33" s="82" t="s">
        <v>120</v>
      </c>
      <c r="B33" s="90">
        <v>0</v>
      </c>
    </row>
    <row r="34" spans="1:3" x14ac:dyDescent="0.35">
      <c r="A34" s="82" t="s">
        <v>121</v>
      </c>
      <c r="B34" s="90">
        <v>0</v>
      </c>
    </row>
    <row r="35" spans="1:3" x14ac:dyDescent="0.35">
      <c r="A35" s="82" t="s">
        <v>122</v>
      </c>
      <c r="B35" s="90">
        <v>0</v>
      </c>
    </row>
    <row r="36" spans="1:3" x14ac:dyDescent="0.35">
      <c r="A36" s="82" t="s">
        <v>123</v>
      </c>
      <c r="B36" s="90">
        <v>0</v>
      </c>
    </row>
    <row r="37" spans="1:3" x14ac:dyDescent="0.35">
      <c r="A37" s="82" t="s">
        <v>124</v>
      </c>
      <c r="B37" s="90">
        <v>0</v>
      </c>
      <c r="C37" s="137"/>
    </row>
    <row r="38" spans="1:3" x14ac:dyDescent="0.35">
      <c r="A38" s="82" t="s">
        <v>125</v>
      </c>
      <c r="B38" s="90">
        <v>0</v>
      </c>
    </row>
    <row r="39" spans="1:3" x14ac:dyDescent="0.35">
      <c r="A39" s="82" t="s">
        <v>126</v>
      </c>
      <c r="B39" s="90">
        <v>0</v>
      </c>
    </row>
    <row r="40" spans="1:3" x14ac:dyDescent="0.35">
      <c r="A40" s="82" t="s">
        <v>127</v>
      </c>
      <c r="B40" s="90">
        <v>0</v>
      </c>
    </row>
    <row r="41" spans="1:3" x14ac:dyDescent="0.35">
      <c r="A41" s="82" t="s">
        <v>128</v>
      </c>
      <c r="B41" s="90">
        <v>0</v>
      </c>
    </row>
    <row r="42" spans="1:3" x14ac:dyDescent="0.35">
      <c r="A42" s="82" t="s">
        <v>129</v>
      </c>
      <c r="B42" s="93">
        <v>508403</v>
      </c>
    </row>
    <row r="43" spans="1:3" x14ac:dyDescent="0.35">
      <c r="A43" s="82" t="s">
        <v>130</v>
      </c>
      <c r="B43" s="93">
        <v>78415825</v>
      </c>
      <c r="C43" s="137"/>
    </row>
    <row r="44" spans="1:3" x14ac:dyDescent="0.35">
      <c r="A44" s="82" t="s">
        <v>131</v>
      </c>
      <c r="B44" s="93">
        <v>572432</v>
      </c>
    </row>
    <row r="45" spans="1:3" x14ac:dyDescent="0.35">
      <c r="A45" s="82" t="s">
        <v>132</v>
      </c>
      <c r="B45" s="93">
        <v>85621260</v>
      </c>
    </row>
    <row r="46" spans="1:3" x14ac:dyDescent="0.35">
      <c r="A46" s="82" t="s">
        <v>133</v>
      </c>
      <c r="B46" s="93">
        <v>836921</v>
      </c>
    </row>
    <row r="47" spans="1:3" x14ac:dyDescent="0.35">
      <c r="A47" s="82" t="s">
        <v>134</v>
      </c>
      <c r="B47" s="93">
        <v>122219463</v>
      </c>
    </row>
    <row r="48" spans="1:3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  <c r="C49" s="137"/>
    </row>
    <row r="50" spans="1:3" x14ac:dyDescent="0.35">
      <c r="A50" s="82" t="s">
        <v>137</v>
      </c>
      <c r="B50" s="90">
        <v>0</v>
      </c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2218</v>
      </c>
    </row>
    <row r="55" spans="1:3" x14ac:dyDescent="0.35">
      <c r="A55" s="82" t="s">
        <v>142</v>
      </c>
      <c r="B55" s="93">
        <v>270861</v>
      </c>
      <c r="C55" s="137"/>
    </row>
    <row r="56" spans="1:3" x14ac:dyDescent="0.35">
      <c r="A56" s="82" t="s">
        <v>143</v>
      </c>
      <c r="B56" s="93">
        <v>2145</v>
      </c>
    </row>
    <row r="57" spans="1:3" x14ac:dyDescent="0.35">
      <c r="A57" s="82" t="s">
        <v>144</v>
      </c>
      <c r="B57" s="93">
        <v>288743</v>
      </c>
    </row>
    <row r="58" spans="1:3" x14ac:dyDescent="0.35">
      <c r="A58" s="82" t="s">
        <v>145</v>
      </c>
      <c r="B58" s="93">
        <v>2192</v>
      </c>
    </row>
    <row r="59" spans="1:3" x14ac:dyDescent="0.35">
      <c r="A59" s="82" t="s">
        <v>146</v>
      </c>
      <c r="B59" s="93">
        <v>359772</v>
      </c>
    </row>
    <row r="60" spans="1:3" x14ac:dyDescent="0.35">
      <c r="A60" s="82" t="s">
        <v>147</v>
      </c>
      <c r="B60" s="93">
        <v>73102</v>
      </c>
    </row>
    <row r="61" spans="1:3" x14ac:dyDescent="0.35">
      <c r="A61" s="82" t="s">
        <v>148</v>
      </c>
      <c r="B61" s="93">
        <v>7723051</v>
      </c>
      <c r="C61" s="137"/>
    </row>
    <row r="62" spans="1:3" x14ac:dyDescent="0.35">
      <c r="A62" s="82" t="s">
        <v>149</v>
      </c>
      <c r="B62" s="93">
        <v>82370</v>
      </c>
    </row>
    <row r="63" spans="1:3" x14ac:dyDescent="0.35">
      <c r="A63" s="82" t="s">
        <v>150</v>
      </c>
      <c r="B63" s="93">
        <v>9055860</v>
      </c>
    </row>
    <row r="64" spans="1:3" x14ac:dyDescent="0.35">
      <c r="A64" s="82" t="s">
        <v>151</v>
      </c>
      <c r="B64" s="93">
        <v>113240</v>
      </c>
    </row>
    <row r="65" spans="1:3" x14ac:dyDescent="0.35">
      <c r="A65" s="82" t="s">
        <v>152</v>
      </c>
      <c r="B65" s="93">
        <v>12358789</v>
      </c>
    </row>
    <row r="66" spans="1:3" x14ac:dyDescent="0.35">
      <c r="A66" s="82" t="s">
        <v>153</v>
      </c>
      <c r="B66" s="90">
        <v>0</v>
      </c>
    </row>
    <row r="67" spans="1:3" x14ac:dyDescent="0.35">
      <c r="A67" s="82" t="s">
        <v>154</v>
      </c>
      <c r="B67" s="90">
        <v>0</v>
      </c>
      <c r="C67" s="137"/>
    </row>
    <row r="68" spans="1:3" x14ac:dyDescent="0.35">
      <c r="A68" s="82" t="s">
        <v>155</v>
      </c>
      <c r="B68" s="90">
        <v>0</v>
      </c>
    </row>
    <row r="69" spans="1:3" x14ac:dyDescent="0.35">
      <c r="A69" s="82" t="s">
        <v>156</v>
      </c>
      <c r="B69" s="90">
        <v>0</v>
      </c>
    </row>
    <row r="70" spans="1:3" x14ac:dyDescent="0.35">
      <c r="A70" s="82" t="s">
        <v>157</v>
      </c>
      <c r="B70" s="90">
        <v>0</v>
      </c>
    </row>
    <row r="71" spans="1:3" x14ac:dyDescent="0.35">
      <c r="A71" s="82" t="s">
        <v>158</v>
      </c>
      <c r="B71" s="90">
        <v>0</v>
      </c>
    </row>
    <row r="72" spans="1:3" x14ac:dyDescent="0.35">
      <c r="A72" s="82" t="s">
        <v>159</v>
      </c>
      <c r="B72" s="92">
        <v>94</v>
      </c>
    </row>
    <row r="73" spans="1:3" x14ac:dyDescent="0.35">
      <c r="A73" s="82" t="s">
        <v>160</v>
      </c>
      <c r="B73" s="92">
        <v>67450</v>
      </c>
      <c r="C73" s="137"/>
    </row>
    <row r="74" spans="1:3" x14ac:dyDescent="0.35">
      <c r="A74" s="82" t="s">
        <v>161</v>
      </c>
      <c r="B74" s="92">
        <v>90</v>
      </c>
    </row>
    <row r="75" spans="1:3" x14ac:dyDescent="0.35">
      <c r="A75" s="82" t="s">
        <v>162</v>
      </c>
      <c r="B75" s="92">
        <v>29443</v>
      </c>
    </row>
    <row r="76" spans="1:3" x14ac:dyDescent="0.35">
      <c r="A76" s="82" t="s">
        <v>163</v>
      </c>
      <c r="B76" s="92">
        <v>218</v>
      </c>
    </row>
    <row r="77" spans="1:3" x14ac:dyDescent="0.35">
      <c r="A77" s="82" t="s">
        <v>164</v>
      </c>
      <c r="B77" s="92">
        <v>61508</v>
      </c>
    </row>
    <row r="78" spans="1:3" x14ac:dyDescent="0.35">
      <c r="A78" s="82" t="s">
        <v>165</v>
      </c>
      <c r="B78" s="93">
        <v>44699606</v>
      </c>
    </row>
    <row r="79" spans="1:3" x14ac:dyDescent="0.35">
      <c r="A79" s="82" t="s">
        <v>166</v>
      </c>
      <c r="B79" s="90">
        <v>11711673</v>
      </c>
      <c r="C79" s="137"/>
    </row>
    <row r="80" spans="1:3" x14ac:dyDescent="0.35">
      <c r="A80" s="82" t="s">
        <v>167</v>
      </c>
      <c r="B80" s="90">
        <v>0</v>
      </c>
    </row>
    <row r="81" spans="1:3" x14ac:dyDescent="0.35">
      <c r="A81" s="82" t="s">
        <v>168</v>
      </c>
      <c r="B81" s="90">
        <v>0</v>
      </c>
    </row>
    <row r="82" spans="1:3" x14ac:dyDescent="0.35">
      <c r="A82" s="82" t="s">
        <v>169</v>
      </c>
      <c r="B82" s="90">
        <v>0</v>
      </c>
    </row>
    <row r="83" spans="1:3" x14ac:dyDescent="0.35">
      <c r="A83" s="82" t="s">
        <v>170</v>
      </c>
      <c r="B83" s="90">
        <v>0</v>
      </c>
    </row>
    <row r="84" spans="1:3" x14ac:dyDescent="0.35">
      <c r="A84" s="82" t="s">
        <v>171</v>
      </c>
      <c r="B84" s="90">
        <v>0</v>
      </c>
    </row>
    <row r="85" spans="1:3" x14ac:dyDescent="0.35">
      <c r="A85" s="82" t="s">
        <v>172</v>
      </c>
      <c r="B85" s="90">
        <v>0</v>
      </c>
      <c r="C85" s="137"/>
    </row>
    <row r="86" spans="1:3" x14ac:dyDescent="0.35">
      <c r="A86" s="82" t="s">
        <v>173</v>
      </c>
      <c r="B86" s="90">
        <v>0</v>
      </c>
    </row>
    <row r="87" spans="1:3" x14ac:dyDescent="0.35">
      <c r="A87" s="82" t="s">
        <v>174</v>
      </c>
      <c r="B87" s="90">
        <v>0</v>
      </c>
    </row>
    <row r="88" spans="1:3" x14ac:dyDescent="0.35">
      <c r="A88" s="82" t="s">
        <v>175</v>
      </c>
      <c r="B88" s="93">
        <v>1768467</v>
      </c>
    </row>
    <row r="89" spans="1:3" x14ac:dyDescent="0.35">
      <c r="A89" s="82" t="s">
        <v>176</v>
      </c>
      <c r="B89" s="93">
        <v>2326543</v>
      </c>
    </row>
    <row r="90" spans="1:3" x14ac:dyDescent="0.35">
      <c r="A90" s="82" t="s">
        <v>177</v>
      </c>
      <c r="B90" s="93">
        <v>244015</v>
      </c>
    </row>
    <row r="91" spans="1:3" x14ac:dyDescent="0.35">
      <c r="A91" s="82" t="s">
        <v>178</v>
      </c>
      <c r="B91" s="90">
        <v>0</v>
      </c>
      <c r="C91" s="137"/>
    </row>
    <row r="92" spans="1:3" x14ac:dyDescent="0.35">
      <c r="A92" s="82" t="s">
        <v>179</v>
      </c>
      <c r="B92" s="93">
        <v>257157</v>
      </c>
    </row>
    <row r="93" spans="1:3" x14ac:dyDescent="0.35">
      <c r="A93" s="82" t="s">
        <v>180</v>
      </c>
      <c r="B93" s="93">
        <v>244015</v>
      </c>
    </row>
    <row r="94" spans="1:3" x14ac:dyDescent="0.35">
      <c r="A94" s="82" t="s">
        <v>181</v>
      </c>
      <c r="B94" s="90">
        <v>0</v>
      </c>
    </row>
    <row r="95" spans="1:3" x14ac:dyDescent="0.35">
      <c r="A95" s="82" t="s">
        <v>182</v>
      </c>
      <c r="B95" s="93">
        <v>144841</v>
      </c>
    </row>
    <row r="96" spans="1:3" x14ac:dyDescent="0.35">
      <c r="A96" s="82" t="s">
        <v>183</v>
      </c>
      <c r="B96" s="93">
        <v>413362232</v>
      </c>
    </row>
    <row r="97" spans="1:2" x14ac:dyDescent="0.35">
      <c r="A97" s="82" t="s">
        <v>184</v>
      </c>
      <c r="B97" s="93">
        <v>3385</v>
      </c>
    </row>
    <row r="98" spans="1:2" x14ac:dyDescent="0.35">
      <c r="A98" s="82" t="s">
        <v>185</v>
      </c>
      <c r="B98" s="93">
        <v>644984</v>
      </c>
    </row>
    <row r="99" spans="1:2" x14ac:dyDescent="0.35">
      <c r="A99" s="82" t="s">
        <v>186</v>
      </c>
      <c r="B99" s="93">
        <v>75</v>
      </c>
    </row>
    <row r="100" spans="1:2" x14ac:dyDescent="0.35">
      <c r="A100" s="82" t="s">
        <v>187</v>
      </c>
      <c r="B100" s="93">
        <v>5353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5</v>
      </c>
    </row>
    <row r="104" spans="1:2" x14ac:dyDescent="0.35">
      <c r="A104" s="82" t="s">
        <v>191</v>
      </c>
      <c r="B104" s="93">
        <v>370</v>
      </c>
    </row>
    <row r="105" spans="1:2" x14ac:dyDescent="0.35">
      <c r="A105" s="82" t="s">
        <v>192</v>
      </c>
      <c r="B105" s="93">
        <v>108205</v>
      </c>
    </row>
    <row r="106" spans="1:2" x14ac:dyDescent="0.35">
      <c r="A106" s="82" t="s">
        <v>193</v>
      </c>
      <c r="B106" s="93">
        <v>104974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452088549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8"/>
  <dimension ref="A6:D135"/>
  <sheetViews>
    <sheetView workbookViewId="0">
      <selection activeCell="B30" sqref="B30"/>
    </sheetView>
  </sheetViews>
  <sheetFormatPr baseColWidth="10" defaultRowHeight="14.5" x14ac:dyDescent="0.35"/>
  <cols>
    <col min="1" max="1" width="60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20204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2</v>
      </c>
      <c r="C10" s="84"/>
      <c r="D10" s="84"/>
    </row>
    <row r="11" spans="1:4" x14ac:dyDescent="0.35">
      <c r="A11" s="82" t="s">
        <v>219</v>
      </c>
      <c r="B11" s="92" t="s">
        <v>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0">
        <v>0</v>
      </c>
      <c r="C18" s="84"/>
      <c r="D18" s="84"/>
    </row>
    <row r="19" spans="1:4" x14ac:dyDescent="0.35">
      <c r="A19" s="82" t="s">
        <v>577</v>
      </c>
      <c r="B19" s="90">
        <v>0</v>
      </c>
      <c r="C19" s="84"/>
      <c r="D19" s="84"/>
    </row>
    <row r="20" spans="1:4" x14ac:dyDescent="0.35">
      <c r="A20" s="82" t="s">
        <v>578</v>
      </c>
      <c r="B20" s="90">
        <v>0</v>
      </c>
      <c r="C20" s="84"/>
      <c r="D20" s="84"/>
    </row>
    <row r="21" spans="1:4" x14ac:dyDescent="0.35">
      <c r="A21" s="82" t="s">
        <v>579</v>
      </c>
      <c r="B21" s="90">
        <v>0</v>
      </c>
      <c r="C21" s="84"/>
      <c r="D21" s="84"/>
    </row>
    <row r="22" spans="1:4" x14ac:dyDescent="0.35">
      <c r="A22" s="82" t="s">
        <v>580</v>
      </c>
      <c r="B22" s="90">
        <v>0</v>
      </c>
      <c r="C22" s="84"/>
      <c r="D22" s="84"/>
    </row>
    <row r="23" spans="1:4" x14ac:dyDescent="0.35">
      <c r="A23" s="82" t="s">
        <v>581</v>
      </c>
      <c r="B23" s="90">
        <v>0</v>
      </c>
      <c r="C23" s="84"/>
      <c r="D23" s="84"/>
    </row>
    <row r="24" spans="1:4" x14ac:dyDescent="0.35">
      <c r="A24" s="82" t="s">
        <v>582</v>
      </c>
      <c r="B24" s="90">
        <v>0</v>
      </c>
    </row>
    <row r="25" spans="1:4" x14ac:dyDescent="0.35">
      <c r="A25" s="82" t="s">
        <v>583</v>
      </c>
      <c r="B25" s="90">
        <v>0</v>
      </c>
    </row>
    <row r="26" spans="1:4" x14ac:dyDescent="0.35">
      <c r="A26" s="82" t="s">
        <v>584</v>
      </c>
      <c r="B26" s="90">
        <v>0</v>
      </c>
    </row>
    <row r="27" spans="1:4" x14ac:dyDescent="0.35">
      <c r="A27" s="82" t="s">
        <v>585</v>
      </c>
      <c r="B27" s="90">
        <v>0</v>
      </c>
    </row>
    <row r="28" spans="1:4" x14ac:dyDescent="0.35">
      <c r="A28" s="82" t="s">
        <v>586</v>
      </c>
      <c r="B28" s="90">
        <v>0</v>
      </c>
    </row>
    <row r="29" spans="1:4" x14ac:dyDescent="0.35">
      <c r="A29" s="82" t="s">
        <v>587</v>
      </c>
      <c r="B29" s="90">
        <v>0</v>
      </c>
    </row>
    <row r="30" spans="1:4" x14ac:dyDescent="0.35">
      <c r="A30" s="82" t="s">
        <v>588</v>
      </c>
      <c r="B30" s="90">
        <v>254321</v>
      </c>
    </row>
    <row r="31" spans="1:4" x14ac:dyDescent="0.35">
      <c r="B31"/>
    </row>
    <row r="32" spans="1:4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1:2" x14ac:dyDescent="0.35">
      <c r="B97"/>
    </row>
    <row r="98" spans="1:2" x14ac:dyDescent="0.35">
      <c r="B98"/>
    </row>
    <row r="99" spans="1:2" x14ac:dyDescent="0.35">
      <c r="B99"/>
    </row>
    <row r="100" spans="1:2" x14ac:dyDescent="0.35">
      <c r="B100"/>
    </row>
    <row r="101" spans="1:2" x14ac:dyDescent="0.35">
      <c r="B101"/>
    </row>
    <row r="102" spans="1:2" x14ac:dyDescent="0.35">
      <c r="B102"/>
    </row>
    <row r="103" spans="1:2" x14ac:dyDescent="0.35">
      <c r="B103"/>
    </row>
    <row r="104" spans="1:2" x14ac:dyDescent="0.35">
      <c r="B104"/>
    </row>
    <row r="105" spans="1:2" x14ac:dyDescent="0.35">
      <c r="B105"/>
    </row>
    <row r="106" spans="1:2" x14ac:dyDescent="0.35">
      <c r="B106"/>
    </row>
    <row r="107" spans="1:2" x14ac:dyDescent="0.35">
      <c r="B107"/>
    </row>
    <row r="108" spans="1:2" x14ac:dyDescent="0.35">
      <c r="B108"/>
    </row>
    <row r="109" spans="1:2" x14ac:dyDescent="0.35">
      <c r="B109"/>
    </row>
    <row r="110" spans="1:2" x14ac:dyDescent="0.35">
      <c r="B110"/>
    </row>
    <row r="111" spans="1:2" x14ac:dyDescent="0.35">
      <c r="A111" s="82" t="s">
        <v>198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2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5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35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5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35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5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35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5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35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5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35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5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35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5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35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5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35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5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35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5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35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5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35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5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35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5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35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5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35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5">
      <c r="A37" s="82"/>
      <c r="B37" s="2">
        <v>763</v>
      </c>
      <c r="C37" s="2">
        <v>757</v>
      </c>
      <c r="D37" s="2">
        <v>618</v>
      </c>
      <c r="E37" s="2">
        <v>0</v>
      </c>
    </row>
    <row r="38" spans="1:5" x14ac:dyDescent="0.35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5">
      <c r="A39" s="82"/>
      <c r="B39" s="84">
        <v>2137473</v>
      </c>
      <c r="C39" s="84">
        <v>1994542</v>
      </c>
      <c r="D39" s="84">
        <v>1673059</v>
      </c>
      <c r="E39" s="84">
        <v>0</v>
      </c>
    </row>
    <row r="40" spans="1:5" x14ac:dyDescent="0.35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5">
      <c r="A41" s="82"/>
      <c r="B41" s="84">
        <v>904</v>
      </c>
      <c r="C41" s="84">
        <v>836</v>
      </c>
      <c r="D41" s="84">
        <v>832</v>
      </c>
      <c r="E41" s="84">
        <v>0</v>
      </c>
    </row>
    <row r="42" spans="1:5" x14ac:dyDescent="0.35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5">
      <c r="A43" s="82"/>
      <c r="B43" s="84">
        <v>619721</v>
      </c>
      <c r="C43" s="84">
        <v>556065</v>
      </c>
      <c r="D43" s="84">
        <v>564880</v>
      </c>
      <c r="E43" s="84">
        <v>0</v>
      </c>
    </row>
    <row r="44" spans="1:5" x14ac:dyDescent="0.35">
      <c r="A44" s="83" t="s">
        <v>208</v>
      </c>
      <c r="B44" s="84"/>
      <c r="C44" s="84"/>
      <c r="D44" s="84"/>
      <c r="E44" s="84"/>
    </row>
    <row r="45" spans="1:5" x14ac:dyDescent="0.35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5">
      <c r="A46" s="82"/>
      <c r="B46" s="84">
        <v>44659</v>
      </c>
      <c r="C46" s="84">
        <v>47089</v>
      </c>
      <c r="D46" s="84">
        <v>60938</v>
      </c>
      <c r="E46" s="84">
        <v>0</v>
      </c>
    </row>
    <row r="47" spans="1:5" x14ac:dyDescent="0.35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5">
      <c r="A48" s="82"/>
      <c r="B48" s="84">
        <v>6857935</v>
      </c>
      <c r="C48" s="84">
        <v>7137703</v>
      </c>
      <c r="D48" s="84">
        <v>9169388</v>
      </c>
      <c r="E48" s="84">
        <v>0</v>
      </c>
    </row>
    <row r="49" spans="1:5" x14ac:dyDescent="0.35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5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35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5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35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5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35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5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35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5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35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5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35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5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35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5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35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5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35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5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35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5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35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5">
      <c r="A72" s="82"/>
      <c r="B72" s="84">
        <v>202</v>
      </c>
      <c r="C72" s="84">
        <v>195</v>
      </c>
      <c r="D72" s="84">
        <v>199</v>
      </c>
      <c r="E72" s="84">
        <v>0</v>
      </c>
    </row>
    <row r="73" spans="1:5" x14ac:dyDescent="0.35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5">
      <c r="A74" s="82"/>
      <c r="B74" s="84">
        <v>26945</v>
      </c>
      <c r="C74" s="84">
        <v>27500</v>
      </c>
      <c r="D74" s="84">
        <v>34078</v>
      </c>
      <c r="E74" s="84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5">
      <c r="A77" s="83"/>
      <c r="B77" s="2">
        <v>11996</v>
      </c>
      <c r="C77" s="2">
        <v>12788</v>
      </c>
      <c r="D77" s="2">
        <v>15810</v>
      </c>
      <c r="E77" s="2">
        <v>0</v>
      </c>
    </row>
    <row r="78" spans="1:5" x14ac:dyDescent="0.35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5">
      <c r="A79" s="83"/>
      <c r="B79" s="2">
        <v>1194509</v>
      </c>
      <c r="C79" s="2">
        <v>1209398</v>
      </c>
      <c r="D79" s="2">
        <v>1773785</v>
      </c>
      <c r="E79" s="2">
        <v>0</v>
      </c>
    </row>
    <row r="80" spans="1:5" x14ac:dyDescent="0.35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5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35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5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35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5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35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5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35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5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35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5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35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5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35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5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35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5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35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5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35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5">
      <c r="A101" s="82"/>
      <c r="B101" s="84">
        <v>14</v>
      </c>
      <c r="C101" s="84">
        <v>18</v>
      </c>
      <c r="D101" s="84">
        <v>34</v>
      </c>
      <c r="E101" s="84">
        <v>0</v>
      </c>
    </row>
    <row r="102" spans="1:5" x14ac:dyDescent="0.35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5">
      <c r="A103" s="83"/>
      <c r="B103" s="2">
        <v>11003</v>
      </c>
      <c r="C103" s="2">
        <v>14856</v>
      </c>
      <c r="D103" s="2">
        <v>19421</v>
      </c>
      <c r="E103" s="2">
        <v>0</v>
      </c>
    </row>
    <row r="104" spans="1:5" x14ac:dyDescent="0.35">
      <c r="A104" s="83" t="s">
        <v>261</v>
      </c>
      <c r="B104" s="84"/>
      <c r="C104" s="84"/>
      <c r="D104" s="84"/>
      <c r="E104" s="84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2">
        <v>5491975</v>
      </c>
    </row>
    <row r="107" spans="1:5" x14ac:dyDescent="0.35">
      <c r="A107" s="82" t="s">
        <v>264</v>
      </c>
      <c r="B107" s="2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89" t="s">
        <v>273</v>
      </c>
    </row>
    <row r="116" spans="1:2" x14ac:dyDescent="0.35">
      <c r="A116" s="82" t="s">
        <v>274</v>
      </c>
    </row>
    <row r="117" spans="1:2" x14ac:dyDescent="0.35">
      <c r="A117" s="82" t="s">
        <v>275</v>
      </c>
      <c r="B117" s="2">
        <v>191294</v>
      </c>
    </row>
    <row r="118" spans="1:2" x14ac:dyDescent="0.35">
      <c r="A118" s="82" t="s">
        <v>276</v>
      </c>
      <c r="B118" s="2">
        <v>115459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88" t="s">
        <v>97</v>
      </c>
    </row>
    <row r="125" spans="1:2" x14ac:dyDescent="0.35">
      <c r="A125" s="82" t="s">
        <v>281</v>
      </c>
      <c r="B125" s="2">
        <v>14868</v>
      </c>
    </row>
    <row r="126" spans="1:2" x14ac:dyDescent="0.35">
      <c r="A126" s="82" t="s">
        <v>282</v>
      </c>
      <c r="B126" s="2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2">
        <v>8168</v>
      </c>
    </row>
    <row r="133" spans="1:3" x14ac:dyDescent="0.35">
      <c r="A133" s="82" t="s">
        <v>289</v>
      </c>
      <c r="B133" s="2">
        <v>124570880</v>
      </c>
    </row>
    <row r="134" spans="1:3" x14ac:dyDescent="0.35">
      <c r="A134" s="82" t="s">
        <v>290</v>
      </c>
      <c r="B134" s="2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2">
        <v>13653</v>
      </c>
    </row>
    <row r="139" spans="1:3" x14ac:dyDescent="0.35">
      <c r="A139" s="82" t="s">
        <v>295</v>
      </c>
      <c r="B139" s="2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88" t="s">
        <v>259</v>
      </c>
      <c r="C142" s="88" t="s">
        <v>260</v>
      </c>
    </row>
    <row r="143" spans="1:3" x14ac:dyDescent="0.35">
      <c r="A143" s="82" t="s">
        <v>296</v>
      </c>
      <c r="B143" s="2">
        <v>12503</v>
      </c>
      <c r="C143" s="2">
        <v>38669538</v>
      </c>
    </row>
    <row r="144" spans="1:3" x14ac:dyDescent="0.35">
      <c r="A144" s="82" t="s">
        <v>297</v>
      </c>
      <c r="B144" s="2">
        <v>331</v>
      </c>
      <c r="C144" s="2">
        <v>73135</v>
      </c>
    </row>
    <row r="145" spans="1:3" x14ac:dyDescent="0.35">
      <c r="A145" s="82" t="s">
        <v>298</v>
      </c>
      <c r="B145" s="2">
        <v>7</v>
      </c>
      <c r="C145" s="2">
        <v>117</v>
      </c>
    </row>
    <row r="146" spans="1:3" x14ac:dyDescent="0.35">
      <c r="A146" s="82" t="s">
        <v>299</v>
      </c>
      <c r="B146" s="2">
        <v>0</v>
      </c>
      <c r="C146" s="2">
        <v>0</v>
      </c>
    </row>
    <row r="147" spans="1:3" x14ac:dyDescent="0.35">
      <c r="A147" s="82" t="s">
        <v>300</v>
      </c>
      <c r="B147" s="2">
        <v>2</v>
      </c>
      <c r="C147" s="2">
        <v>60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9"/>
  <dimension ref="A6:E135"/>
  <sheetViews>
    <sheetView topLeftCell="A60" zoomScale="115" zoomScaleNormal="115" workbookViewId="0">
      <selection activeCell="B72" sqref="B72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763</v>
      </c>
      <c r="C18" s="84"/>
      <c r="D18" s="84"/>
      <c r="E18" s="84"/>
    </row>
    <row r="19" spans="1:5" x14ac:dyDescent="0.35">
      <c r="A19" s="82" t="s">
        <v>106</v>
      </c>
      <c r="B19" s="92">
        <v>2137473</v>
      </c>
      <c r="C19" s="84"/>
      <c r="D19" s="84"/>
      <c r="E19" s="84"/>
    </row>
    <row r="20" spans="1:5" x14ac:dyDescent="0.35">
      <c r="A20" s="82" t="s">
        <v>107</v>
      </c>
      <c r="B20" s="92">
        <v>757</v>
      </c>
      <c r="C20" s="84"/>
      <c r="D20" s="84"/>
      <c r="E20" s="84"/>
    </row>
    <row r="21" spans="1:5" x14ac:dyDescent="0.35">
      <c r="A21" s="82" t="s">
        <v>108</v>
      </c>
      <c r="B21" s="92">
        <v>1994542</v>
      </c>
      <c r="C21" s="84"/>
      <c r="D21" s="84"/>
      <c r="E21" s="84"/>
    </row>
    <row r="22" spans="1:5" x14ac:dyDescent="0.35">
      <c r="A22" s="82" t="s">
        <v>109</v>
      </c>
      <c r="B22" s="92">
        <v>618</v>
      </c>
      <c r="C22" s="84"/>
      <c r="D22" s="84"/>
      <c r="E22" s="84"/>
    </row>
    <row r="23" spans="1:5" x14ac:dyDescent="0.35">
      <c r="A23" s="82" t="s">
        <v>110</v>
      </c>
      <c r="B23" s="92">
        <v>1673059</v>
      </c>
      <c r="C23" s="84"/>
      <c r="D23" s="84"/>
      <c r="E23" s="84"/>
    </row>
    <row r="24" spans="1:5" x14ac:dyDescent="0.35">
      <c r="A24" s="82" t="s">
        <v>111</v>
      </c>
      <c r="B24" s="92">
        <v>904</v>
      </c>
    </row>
    <row r="25" spans="1:5" x14ac:dyDescent="0.35">
      <c r="A25" s="82" t="s">
        <v>112</v>
      </c>
      <c r="B25" s="92">
        <v>619721</v>
      </c>
    </row>
    <row r="26" spans="1:5" x14ac:dyDescent="0.35">
      <c r="A26" s="82" t="s">
        <v>113</v>
      </c>
      <c r="B26" s="92">
        <v>836</v>
      </c>
    </row>
    <row r="27" spans="1:5" x14ac:dyDescent="0.35">
      <c r="A27" s="82" t="s">
        <v>114</v>
      </c>
      <c r="B27" s="92">
        <v>556065</v>
      </c>
    </row>
    <row r="28" spans="1:5" x14ac:dyDescent="0.35">
      <c r="A28" s="82" t="s">
        <v>115</v>
      </c>
      <c r="B28" s="92">
        <v>832</v>
      </c>
    </row>
    <row r="29" spans="1:5" x14ac:dyDescent="0.35">
      <c r="A29" s="82" t="s">
        <v>116</v>
      </c>
      <c r="B29" s="92">
        <v>564880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44659</v>
      </c>
    </row>
    <row r="43" spans="1:2" x14ac:dyDescent="0.35">
      <c r="A43" s="82" t="s">
        <v>130</v>
      </c>
      <c r="B43" s="93">
        <v>6857935</v>
      </c>
    </row>
    <row r="44" spans="1:2" x14ac:dyDescent="0.35">
      <c r="A44" s="82" t="s">
        <v>131</v>
      </c>
      <c r="B44" s="93">
        <v>47089</v>
      </c>
    </row>
    <row r="45" spans="1:2" x14ac:dyDescent="0.35">
      <c r="A45" s="82" t="s">
        <v>132</v>
      </c>
      <c r="B45" s="93">
        <v>7137703</v>
      </c>
    </row>
    <row r="46" spans="1:2" x14ac:dyDescent="0.35">
      <c r="A46" s="82" t="s">
        <v>133</v>
      </c>
      <c r="B46" s="93">
        <v>60938</v>
      </c>
    </row>
    <row r="47" spans="1:2" x14ac:dyDescent="0.35">
      <c r="A47" s="82" t="s">
        <v>134</v>
      </c>
      <c r="B47" s="93">
        <v>9169388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202</v>
      </c>
    </row>
    <row r="55" spans="1:3" x14ac:dyDescent="0.35">
      <c r="A55" s="82" t="s">
        <v>142</v>
      </c>
      <c r="B55" s="93">
        <v>26945</v>
      </c>
    </row>
    <row r="56" spans="1:3" x14ac:dyDescent="0.35">
      <c r="A56" s="82" t="s">
        <v>143</v>
      </c>
      <c r="B56" s="93">
        <v>195</v>
      </c>
    </row>
    <row r="57" spans="1:3" x14ac:dyDescent="0.35">
      <c r="A57" s="82" t="s">
        <v>144</v>
      </c>
      <c r="B57" s="93">
        <v>27500</v>
      </c>
    </row>
    <row r="58" spans="1:3" x14ac:dyDescent="0.35">
      <c r="A58" s="82" t="s">
        <v>145</v>
      </c>
      <c r="B58" s="93">
        <v>199</v>
      </c>
    </row>
    <row r="59" spans="1:3" x14ac:dyDescent="0.35">
      <c r="A59" s="82" t="s">
        <v>146</v>
      </c>
      <c r="B59" s="93">
        <v>34078</v>
      </c>
    </row>
    <row r="60" spans="1:3" x14ac:dyDescent="0.35">
      <c r="A60" s="82" t="s">
        <v>147</v>
      </c>
      <c r="B60" s="93">
        <v>11996</v>
      </c>
    </row>
    <row r="61" spans="1:3" x14ac:dyDescent="0.35">
      <c r="A61" s="82" t="s">
        <v>148</v>
      </c>
      <c r="B61" s="93">
        <v>1194509</v>
      </c>
    </row>
    <row r="62" spans="1:3" x14ac:dyDescent="0.35">
      <c r="A62" s="82" t="s">
        <v>149</v>
      </c>
      <c r="B62" s="93">
        <v>12788</v>
      </c>
    </row>
    <row r="63" spans="1:3" x14ac:dyDescent="0.35">
      <c r="A63" s="82" t="s">
        <v>150</v>
      </c>
      <c r="B63" s="93">
        <v>1209398</v>
      </c>
    </row>
    <row r="64" spans="1:3" x14ac:dyDescent="0.35">
      <c r="A64" s="82" t="s">
        <v>151</v>
      </c>
      <c r="B64" s="93">
        <v>15810</v>
      </c>
    </row>
    <row r="65" spans="1:2" x14ac:dyDescent="0.35">
      <c r="A65" s="82" t="s">
        <v>152</v>
      </c>
      <c r="B65" s="93">
        <v>1773785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14</v>
      </c>
    </row>
    <row r="73" spans="1:2" x14ac:dyDescent="0.35">
      <c r="A73" s="82" t="s">
        <v>160</v>
      </c>
      <c r="B73" s="92">
        <v>11003</v>
      </c>
    </row>
    <row r="74" spans="1:2" x14ac:dyDescent="0.35">
      <c r="A74" s="82" t="s">
        <v>161</v>
      </c>
      <c r="B74" s="92">
        <v>18</v>
      </c>
    </row>
    <row r="75" spans="1:2" x14ac:dyDescent="0.35">
      <c r="A75" s="82" t="s">
        <v>162</v>
      </c>
      <c r="B75" s="92">
        <v>14856</v>
      </c>
    </row>
    <row r="76" spans="1:2" x14ac:dyDescent="0.35">
      <c r="A76" s="82" t="s">
        <v>163</v>
      </c>
      <c r="B76" s="92">
        <v>34</v>
      </c>
    </row>
    <row r="77" spans="1:2" x14ac:dyDescent="0.35">
      <c r="A77" s="82" t="s">
        <v>164</v>
      </c>
      <c r="B77" s="92">
        <v>19421</v>
      </c>
    </row>
    <row r="78" spans="1:2" x14ac:dyDescent="0.35">
      <c r="A78" s="82" t="s">
        <v>165</v>
      </c>
      <c r="B78" s="93">
        <v>5491975</v>
      </c>
    </row>
    <row r="79" spans="1:2" x14ac:dyDescent="0.35">
      <c r="A79" s="82" t="s">
        <v>166</v>
      </c>
      <c r="B79" s="90">
        <v>1650725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191294</v>
      </c>
    </row>
    <row r="89" spans="1:2" x14ac:dyDescent="0.35">
      <c r="A89" s="82" t="s">
        <v>176</v>
      </c>
      <c r="B89" s="93">
        <v>115459</v>
      </c>
    </row>
    <row r="90" spans="1:2" x14ac:dyDescent="0.35">
      <c r="A90" s="82" t="s">
        <v>177</v>
      </c>
      <c r="B90" s="93">
        <v>14868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18185</v>
      </c>
    </row>
    <row r="93" spans="1:2" x14ac:dyDescent="0.35">
      <c r="A93" s="82" t="s">
        <v>180</v>
      </c>
      <c r="B93" s="93">
        <v>14868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12503</v>
      </c>
    </row>
    <row r="96" spans="1:2" x14ac:dyDescent="0.35">
      <c r="A96" s="82" t="s">
        <v>183</v>
      </c>
      <c r="B96" s="93">
        <v>38669538</v>
      </c>
    </row>
    <row r="97" spans="1:2" x14ac:dyDescent="0.35">
      <c r="A97" s="82" t="s">
        <v>184</v>
      </c>
      <c r="B97" s="93">
        <v>331</v>
      </c>
    </row>
    <row r="98" spans="1:2" x14ac:dyDescent="0.35">
      <c r="A98" s="82" t="s">
        <v>185</v>
      </c>
      <c r="B98" s="93">
        <v>73135</v>
      </c>
    </row>
    <row r="99" spans="1:2" x14ac:dyDescent="0.35">
      <c r="A99" s="82" t="s">
        <v>186</v>
      </c>
      <c r="B99" s="93">
        <v>7</v>
      </c>
    </row>
    <row r="100" spans="1:2" x14ac:dyDescent="0.35">
      <c r="A100" s="82" t="s">
        <v>187</v>
      </c>
      <c r="B100" s="93">
        <v>117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2</v>
      </c>
    </row>
    <row r="104" spans="1:2" x14ac:dyDescent="0.35">
      <c r="A104" s="82" t="s">
        <v>191</v>
      </c>
      <c r="B104" s="93">
        <v>60</v>
      </c>
    </row>
    <row r="105" spans="1:2" x14ac:dyDescent="0.35">
      <c r="A105" s="82" t="s">
        <v>192</v>
      </c>
      <c r="B105" s="93">
        <v>8168</v>
      </c>
    </row>
    <row r="106" spans="1:2" x14ac:dyDescent="0.35">
      <c r="A106" s="82" t="s">
        <v>193</v>
      </c>
      <c r="B106" s="93">
        <v>13653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124570880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9"/>
  <dimension ref="A6:E54"/>
  <sheetViews>
    <sheetView workbookViewId="0">
      <selection activeCell="D11" sqref="D11"/>
    </sheetView>
  </sheetViews>
  <sheetFormatPr baseColWidth="10" defaultRowHeight="14.5" x14ac:dyDescent="0.35"/>
  <cols>
    <col min="1" max="1" width="57.5429687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15877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321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3296</v>
      </c>
      <c r="C37" s="80">
        <v>3574</v>
      </c>
      <c r="D37" s="80">
        <v>3623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98418760</v>
      </c>
      <c r="C39" s="101">
        <v>107942802</v>
      </c>
      <c r="D39" s="101">
        <v>98548019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1873</v>
      </c>
      <c r="C41" s="101">
        <v>1995</v>
      </c>
      <c r="D41" s="101">
        <v>2178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3166303</v>
      </c>
      <c r="C43" s="101">
        <v>3279822</v>
      </c>
      <c r="D43" s="101">
        <v>3744365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16429</v>
      </c>
      <c r="C46" s="90">
        <v>19289</v>
      </c>
      <c r="D46" s="90">
        <v>20527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5862237</v>
      </c>
      <c r="C48" s="90">
        <v>6658101</v>
      </c>
      <c r="D48" s="90">
        <v>43063602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23</v>
      </c>
      <c r="C72" s="90">
        <v>57</v>
      </c>
      <c r="D72" s="90">
        <v>48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9477</v>
      </c>
      <c r="C74" s="90">
        <v>21268</v>
      </c>
      <c r="D74" s="90">
        <v>23886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7064</v>
      </c>
      <c r="C77" s="80">
        <v>7986</v>
      </c>
      <c r="D77" s="80">
        <v>8458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4252018</v>
      </c>
      <c r="C79" s="80">
        <v>4499859</v>
      </c>
      <c r="D79" s="80">
        <v>4756942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40</v>
      </c>
      <c r="C101" s="90">
        <v>34</v>
      </c>
      <c r="D101" s="90">
        <v>31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54522</v>
      </c>
      <c r="C103" s="80">
        <v>43512</v>
      </c>
      <c r="D103" s="80">
        <v>33556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28664477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300069</v>
      </c>
    </row>
    <row r="118" spans="1:2" x14ac:dyDescent="0.35">
      <c r="A118" s="82" t="s">
        <v>276</v>
      </c>
      <c r="B118" s="80">
        <v>59934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21858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3021</v>
      </c>
    </row>
    <row r="133" spans="1:3" x14ac:dyDescent="0.35">
      <c r="A133" s="82" t="s">
        <v>289</v>
      </c>
      <c r="B133" s="80">
        <v>325664752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7256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13332</v>
      </c>
      <c r="C143" s="80">
        <v>535383602</v>
      </c>
    </row>
    <row r="144" spans="1:3" x14ac:dyDescent="0.35">
      <c r="A144" s="82" t="s">
        <v>297</v>
      </c>
      <c r="B144" s="80">
        <v>899</v>
      </c>
      <c r="C144" s="80">
        <v>7975507</v>
      </c>
    </row>
    <row r="145" spans="1:3" x14ac:dyDescent="0.35">
      <c r="A145" s="82" t="s">
        <v>298</v>
      </c>
      <c r="B145" s="80">
        <v>157</v>
      </c>
      <c r="C145" s="80">
        <v>1144521</v>
      </c>
    </row>
    <row r="146" spans="1:3" x14ac:dyDescent="0.35">
      <c r="A146" s="82" t="s">
        <v>299</v>
      </c>
      <c r="B146" s="80">
        <v>234</v>
      </c>
      <c r="C146" s="80">
        <v>1664504</v>
      </c>
    </row>
    <row r="147" spans="1:3" x14ac:dyDescent="0.35">
      <c r="A147" s="82" t="s">
        <v>300</v>
      </c>
      <c r="B147" s="80">
        <v>456</v>
      </c>
      <c r="C147" s="80">
        <v>3151683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321</v>
      </c>
      <c r="B6" s="92" t="s">
        <v>214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3296</v>
      </c>
      <c r="C18" s="84"/>
      <c r="D18" s="84"/>
      <c r="E18" s="84"/>
    </row>
    <row r="19" spans="1:5" x14ac:dyDescent="0.35">
      <c r="A19" s="82" t="s">
        <v>106</v>
      </c>
      <c r="B19" s="92">
        <v>98418760</v>
      </c>
      <c r="C19" s="84"/>
      <c r="D19" s="84"/>
      <c r="E19" s="84"/>
    </row>
    <row r="20" spans="1:5" x14ac:dyDescent="0.35">
      <c r="A20" s="82" t="s">
        <v>107</v>
      </c>
      <c r="B20" s="92">
        <v>3574</v>
      </c>
      <c r="C20" s="84"/>
      <c r="D20" s="84"/>
      <c r="E20" s="84"/>
    </row>
    <row r="21" spans="1:5" x14ac:dyDescent="0.35">
      <c r="A21" s="82" t="s">
        <v>108</v>
      </c>
      <c r="B21" s="92">
        <v>107942802</v>
      </c>
      <c r="C21" s="84"/>
      <c r="D21" s="84"/>
      <c r="E21" s="84"/>
    </row>
    <row r="22" spans="1:5" x14ac:dyDescent="0.35">
      <c r="A22" s="82" t="s">
        <v>109</v>
      </c>
      <c r="B22" s="92">
        <v>3623</v>
      </c>
      <c r="C22" s="84"/>
      <c r="D22" s="84"/>
      <c r="E22" s="84"/>
    </row>
    <row r="23" spans="1:5" x14ac:dyDescent="0.35">
      <c r="A23" s="82" t="s">
        <v>110</v>
      </c>
      <c r="B23" s="92">
        <v>98548019</v>
      </c>
      <c r="C23" s="84"/>
      <c r="D23" s="84"/>
      <c r="E23" s="84"/>
    </row>
    <row r="24" spans="1:5" x14ac:dyDescent="0.35">
      <c r="A24" s="82" t="s">
        <v>111</v>
      </c>
      <c r="B24" s="92">
        <v>1873</v>
      </c>
    </row>
    <row r="25" spans="1:5" x14ac:dyDescent="0.35">
      <c r="A25" s="82" t="s">
        <v>112</v>
      </c>
      <c r="B25" s="92">
        <v>3166303</v>
      </c>
    </row>
    <row r="26" spans="1:5" x14ac:dyDescent="0.35">
      <c r="A26" s="82" t="s">
        <v>113</v>
      </c>
      <c r="B26" s="92">
        <v>1995</v>
      </c>
    </row>
    <row r="27" spans="1:5" x14ac:dyDescent="0.35">
      <c r="A27" s="82" t="s">
        <v>114</v>
      </c>
      <c r="B27" s="92">
        <v>3279822</v>
      </c>
    </row>
    <row r="28" spans="1:5" x14ac:dyDescent="0.35">
      <c r="A28" s="82" t="s">
        <v>115</v>
      </c>
      <c r="B28" s="92">
        <v>2178</v>
      </c>
    </row>
    <row r="29" spans="1:5" x14ac:dyDescent="0.35">
      <c r="A29" s="82" t="s">
        <v>116</v>
      </c>
      <c r="B29" s="92">
        <v>3744365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16429</v>
      </c>
    </row>
    <row r="43" spans="1:2" x14ac:dyDescent="0.35">
      <c r="A43" s="82" t="s">
        <v>130</v>
      </c>
      <c r="B43" s="93">
        <v>5862237</v>
      </c>
    </row>
    <row r="44" spans="1:2" x14ac:dyDescent="0.35">
      <c r="A44" s="82" t="s">
        <v>131</v>
      </c>
      <c r="B44" s="93">
        <v>19289</v>
      </c>
    </row>
    <row r="45" spans="1:2" x14ac:dyDescent="0.35">
      <c r="A45" s="82" t="s">
        <v>132</v>
      </c>
      <c r="B45" s="93">
        <v>6658101</v>
      </c>
    </row>
    <row r="46" spans="1:2" x14ac:dyDescent="0.35">
      <c r="A46" s="82" t="s">
        <v>133</v>
      </c>
      <c r="B46" s="93">
        <v>20527</v>
      </c>
    </row>
    <row r="47" spans="1:2" x14ac:dyDescent="0.35">
      <c r="A47" s="82" t="s">
        <v>134</v>
      </c>
      <c r="B47" s="93">
        <v>43063602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23</v>
      </c>
    </row>
    <row r="55" spans="1:3" x14ac:dyDescent="0.35">
      <c r="A55" s="82" t="s">
        <v>142</v>
      </c>
      <c r="B55" s="93">
        <v>9477</v>
      </c>
    </row>
    <row r="56" spans="1:3" x14ac:dyDescent="0.35">
      <c r="A56" s="82" t="s">
        <v>143</v>
      </c>
      <c r="B56" s="93">
        <v>57</v>
      </c>
    </row>
    <row r="57" spans="1:3" x14ac:dyDescent="0.35">
      <c r="A57" s="82" t="s">
        <v>144</v>
      </c>
      <c r="B57" s="93">
        <v>21268</v>
      </c>
    </row>
    <row r="58" spans="1:3" x14ac:dyDescent="0.35">
      <c r="A58" s="82" t="s">
        <v>145</v>
      </c>
      <c r="B58" s="93">
        <v>48</v>
      </c>
    </row>
    <row r="59" spans="1:3" x14ac:dyDescent="0.35">
      <c r="A59" s="82" t="s">
        <v>146</v>
      </c>
      <c r="B59" s="93">
        <v>23886</v>
      </c>
    </row>
    <row r="60" spans="1:3" x14ac:dyDescent="0.35">
      <c r="A60" s="82" t="s">
        <v>147</v>
      </c>
      <c r="B60" s="93">
        <v>7064</v>
      </c>
    </row>
    <row r="61" spans="1:3" x14ac:dyDescent="0.35">
      <c r="A61" s="82" t="s">
        <v>148</v>
      </c>
      <c r="B61" s="93">
        <v>4252018</v>
      </c>
    </row>
    <row r="62" spans="1:3" x14ac:dyDescent="0.35">
      <c r="A62" s="82" t="s">
        <v>149</v>
      </c>
      <c r="B62" s="93">
        <v>7986</v>
      </c>
    </row>
    <row r="63" spans="1:3" x14ac:dyDescent="0.35">
      <c r="A63" s="82" t="s">
        <v>150</v>
      </c>
      <c r="B63" s="93">
        <v>4499859</v>
      </c>
    </row>
    <row r="64" spans="1:3" x14ac:dyDescent="0.35">
      <c r="A64" s="82" t="s">
        <v>151</v>
      </c>
      <c r="B64" s="93">
        <v>8458</v>
      </c>
    </row>
    <row r="65" spans="1:2" x14ac:dyDescent="0.35">
      <c r="A65" s="82" t="s">
        <v>152</v>
      </c>
      <c r="B65" s="93">
        <v>4756942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40</v>
      </c>
    </row>
    <row r="73" spans="1:2" x14ac:dyDescent="0.35">
      <c r="A73" s="82" t="s">
        <v>160</v>
      </c>
      <c r="B73" s="92">
        <v>54522</v>
      </c>
    </row>
    <row r="74" spans="1:2" x14ac:dyDescent="0.35">
      <c r="A74" s="82" t="s">
        <v>161</v>
      </c>
      <c r="B74" s="92">
        <v>34</v>
      </c>
    </row>
    <row r="75" spans="1:2" x14ac:dyDescent="0.35">
      <c r="A75" s="82" t="s">
        <v>162</v>
      </c>
      <c r="B75" s="92">
        <v>43512</v>
      </c>
    </row>
    <row r="76" spans="1:2" x14ac:dyDescent="0.35">
      <c r="A76" s="82" t="s">
        <v>163</v>
      </c>
      <c r="B76" s="92">
        <v>31</v>
      </c>
    </row>
    <row r="77" spans="1:2" x14ac:dyDescent="0.35">
      <c r="A77" s="82" t="s">
        <v>164</v>
      </c>
      <c r="B77" s="92">
        <v>33556</v>
      </c>
    </row>
    <row r="78" spans="1:2" x14ac:dyDescent="0.35">
      <c r="A78" s="82" t="s">
        <v>165</v>
      </c>
      <c r="B78" s="93">
        <v>28664477</v>
      </c>
    </row>
    <row r="79" spans="1:2" x14ac:dyDescent="0.35">
      <c r="A79" s="82" t="s">
        <v>166</v>
      </c>
      <c r="B79" s="90">
        <v>2124120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300069</v>
      </c>
    </row>
    <row r="89" spans="1:2" x14ac:dyDescent="0.35">
      <c r="A89" s="82" t="s">
        <v>176</v>
      </c>
      <c r="B89" s="93">
        <v>59934</v>
      </c>
    </row>
    <row r="90" spans="1:2" x14ac:dyDescent="0.35">
      <c r="A90" s="82" t="s">
        <v>177</v>
      </c>
      <c r="B90" s="93">
        <v>21858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24287</v>
      </c>
    </row>
    <row r="93" spans="1:2" x14ac:dyDescent="0.35">
      <c r="A93" s="82" t="s">
        <v>180</v>
      </c>
      <c r="B93" s="93">
        <v>21858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13332</v>
      </c>
    </row>
    <row r="96" spans="1:2" x14ac:dyDescent="0.35">
      <c r="A96" s="82" t="s">
        <v>183</v>
      </c>
      <c r="B96" s="93">
        <v>535383602</v>
      </c>
    </row>
    <row r="97" spans="1:2" x14ac:dyDescent="0.35">
      <c r="A97" s="82" t="s">
        <v>184</v>
      </c>
      <c r="B97" s="93">
        <v>899</v>
      </c>
    </row>
    <row r="98" spans="1:2" x14ac:dyDescent="0.35">
      <c r="A98" s="82" t="s">
        <v>185</v>
      </c>
      <c r="B98" s="93">
        <v>7975507</v>
      </c>
    </row>
    <row r="99" spans="1:2" x14ac:dyDescent="0.35">
      <c r="A99" s="82" t="s">
        <v>186</v>
      </c>
      <c r="B99" s="93">
        <v>157</v>
      </c>
    </row>
    <row r="100" spans="1:2" x14ac:dyDescent="0.35">
      <c r="A100" s="82" t="s">
        <v>187</v>
      </c>
      <c r="B100" s="93">
        <v>1144521</v>
      </c>
    </row>
    <row r="101" spans="1:2" x14ac:dyDescent="0.35">
      <c r="A101" s="82" t="s">
        <v>188</v>
      </c>
      <c r="B101" s="90">
        <v>234</v>
      </c>
    </row>
    <row r="102" spans="1:2" x14ac:dyDescent="0.35">
      <c r="A102" s="82" t="s">
        <v>189</v>
      </c>
      <c r="B102" s="90">
        <v>1664504</v>
      </c>
    </row>
    <row r="103" spans="1:2" x14ac:dyDescent="0.35">
      <c r="A103" s="82" t="s">
        <v>190</v>
      </c>
      <c r="B103" s="93">
        <v>456</v>
      </c>
    </row>
    <row r="104" spans="1:2" x14ac:dyDescent="0.35">
      <c r="A104" s="82" t="s">
        <v>191</v>
      </c>
      <c r="B104" s="93">
        <v>3151683</v>
      </c>
    </row>
    <row r="105" spans="1:2" x14ac:dyDescent="0.35">
      <c r="A105" s="82" t="s">
        <v>192</v>
      </c>
      <c r="B105" s="93">
        <v>3021</v>
      </c>
    </row>
    <row r="106" spans="1:2" x14ac:dyDescent="0.35">
      <c r="A106" s="82" t="s">
        <v>193</v>
      </c>
      <c r="B106" s="93">
        <v>7256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325664752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A6:E135"/>
  <sheetViews>
    <sheetView topLeftCell="A16"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23770</v>
      </c>
    </row>
    <row r="31" spans="1:5" x14ac:dyDescent="0.35">
      <c r="A31" s="82"/>
    </row>
    <row r="32" spans="1:5" x14ac:dyDescent="0.35">
      <c r="A32" s="82"/>
    </row>
    <row r="33" spans="1:2" x14ac:dyDescent="0.35">
      <c r="A33" s="82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  <c r="B42" s="93"/>
    </row>
    <row r="43" spans="1:2" x14ac:dyDescent="0.35">
      <c r="A43" s="82"/>
      <c r="B43" s="93"/>
    </row>
    <row r="44" spans="1:2" x14ac:dyDescent="0.35">
      <c r="A44" s="82"/>
      <c r="B44" s="93"/>
    </row>
    <row r="45" spans="1:2" x14ac:dyDescent="0.35">
      <c r="A45" s="82"/>
      <c r="B45" s="93"/>
    </row>
    <row r="46" spans="1:2" x14ac:dyDescent="0.35">
      <c r="A46" s="82"/>
      <c r="B46" s="93"/>
    </row>
    <row r="47" spans="1:2" x14ac:dyDescent="0.35">
      <c r="A47" s="82"/>
      <c r="B47" s="93"/>
    </row>
    <row r="48" spans="1:2" x14ac:dyDescent="0.35">
      <c r="A48" s="82"/>
    </row>
    <row r="49" spans="1:3" x14ac:dyDescent="0.35">
      <c r="A49" s="82"/>
    </row>
    <row r="50" spans="1:3" x14ac:dyDescent="0.35">
      <c r="A50" s="82"/>
      <c r="C50" s="94"/>
    </row>
    <row r="51" spans="1:3" x14ac:dyDescent="0.35">
      <c r="A51" s="82"/>
    </row>
    <row r="52" spans="1:3" x14ac:dyDescent="0.35">
      <c r="A52" s="82"/>
    </row>
    <row r="53" spans="1:3" x14ac:dyDescent="0.35">
      <c r="A53" s="82"/>
    </row>
    <row r="54" spans="1:3" x14ac:dyDescent="0.35">
      <c r="A54" s="82"/>
      <c r="B54" s="93"/>
    </row>
    <row r="55" spans="1:3" x14ac:dyDescent="0.35">
      <c r="A55" s="82"/>
      <c r="B55" s="93"/>
    </row>
    <row r="56" spans="1:3" x14ac:dyDescent="0.35">
      <c r="A56" s="82"/>
      <c r="B56" s="93"/>
    </row>
    <row r="57" spans="1:3" x14ac:dyDescent="0.35">
      <c r="A57" s="82"/>
      <c r="B57" s="93"/>
    </row>
    <row r="58" spans="1:3" x14ac:dyDescent="0.35">
      <c r="A58" s="82"/>
      <c r="B58" s="93"/>
    </row>
    <row r="59" spans="1:3" x14ac:dyDescent="0.35">
      <c r="A59" s="82"/>
      <c r="B59" s="93"/>
    </row>
    <row r="60" spans="1:3" x14ac:dyDescent="0.35">
      <c r="A60" s="82"/>
      <c r="B60" s="93"/>
    </row>
    <row r="61" spans="1:3" x14ac:dyDescent="0.35">
      <c r="A61" s="82"/>
      <c r="B61" s="93"/>
    </row>
    <row r="62" spans="1:3" x14ac:dyDescent="0.35">
      <c r="A62" s="82"/>
      <c r="B62" s="93"/>
    </row>
    <row r="63" spans="1:3" x14ac:dyDescent="0.35">
      <c r="A63" s="82"/>
      <c r="B63" s="93"/>
    </row>
    <row r="64" spans="1:3" x14ac:dyDescent="0.35">
      <c r="A64" s="82"/>
      <c r="B64" s="93"/>
    </row>
    <row r="65" spans="1:2" x14ac:dyDescent="0.35">
      <c r="A65" s="82"/>
      <c r="B65" s="93"/>
    </row>
    <row r="66" spans="1:2" x14ac:dyDescent="0.35">
      <c r="A66" s="82"/>
    </row>
    <row r="67" spans="1:2" x14ac:dyDescent="0.35">
      <c r="A67" s="82"/>
    </row>
    <row r="68" spans="1:2" x14ac:dyDescent="0.35">
      <c r="A68" s="82"/>
    </row>
    <row r="69" spans="1:2" x14ac:dyDescent="0.35">
      <c r="A69" s="82"/>
    </row>
    <row r="70" spans="1:2" x14ac:dyDescent="0.35">
      <c r="A70" s="82"/>
    </row>
    <row r="71" spans="1:2" x14ac:dyDescent="0.35">
      <c r="A71" s="82"/>
    </row>
    <row r="72" spans="1:2" x14ac:dyDescent="0.35">
      <c r="A72" s="82"/>
      <c r="B72" s="92"/>
    </row>
    <row r="73" spans="1:2" x14ac:dyDescent="0.35">
      <c r="A73" s="82"/>
      <c r="B73" s="92"/>
    </row>
    <row r="74" spans="1:2" x14ac:dyDescent="0.35">
      <c r="A74" s="82"/>
      <c r="B74" s="92"/>
    </row>
    <row r="75" spans="1:2" x14ac:dyDescent="0.35">
      <c r="A75" s="82"/>
      <c r="B75" s="92"/>
    </row>
    <row r="76" spans="1:2" x14ac:dyDescent="0.35">
      <c r="A76" s="82"/>
      <c r="B76" s="92"/>
    </row>
    <row r="77" spans="1:2" x14ac:dyDescent="0.35">
      <c r="A77" s="82"/>
      <c r="B77" s="92"/>
    </row>
    <row r="78" spans="1:2" x14ac:dyDescent="0.35">
      <c r="A78" s="82"/>
      <c r="B78" s="93"/>
    </row>
    <row r="79" spans="1:2" x14ac:dyDescent="0.35">
      <c r="A79" s="82"/>
    </row>
    <row r="80" spans="1:2" x14ac:dyDescent="0.35">
      <c r="A80" s="82"/>
    </row>
    <row r="81" spans="1:2" x14ac:dyDescent="0.35">
      <c r="A81" s="82"/>
    </row>
    <row r="82" spans="1:2" x14ac:dyDescent="0.35">
      <c r="A82" s="82"/>
    </row>
    <row r="83" spans="1:2" x14ac:dyDescent="0.35">
      <c r="A83" s="82"/>
    </row>
    <row r="84" spans="1:2" x14ac:dyDescent="0.35">
      <c r="A84" s="82"/>
    </row>
    <row r="85" spans="1:2" x14ac:dyDescent="0.35">
      <c r="A85" s="82"/>
    </row>
    <row r="86" spans="1:2" x14ac:dyDescent="0.35">
      <c r="A86" s="82"/>
    </row>
    <row r="87" spans="1:2" x14ac:dyDescent="0.35">
      <c r="A87" s="82"/>
    </row>
    <row r="88" spans="1:2" x14ac:dyDescent="0.35">
      <c r="A88" s="82"/>
      <c r="B88" s="93"/>
    </row>
    <row r="89" spans="1:2" x14ac:dyDescent="0.35">
      <c r="A89" s="82"/>
      <c r="B89" s="93"/>
    </row>
    <row r="90" spans="1:2" x14ac:dyDescent="0.35">
      <c r="A90" s="82"/>
      <c r="B90" s="93"/>
    </row>
    <row r="91" spans="1:2" x14ac:dyDescent="0.35">
      <c r="A91" s="82"/>
    </row>
    <row r="92" spans="1:2" x14ac:dyDescent="0.35">
      <c r="A92" s="82"/>
      <c r="B92" s="93"/>
    </row>
    <row r="93" spans="1:2" x14ac:dyDescent="0.35">
      <c r="A93" s="82"/>
      <c r="B93" s="93"/>
    </row>
    <row r="94" spans="1:2" x14ac:dyDescent="0.35">
      <c r="A94" s="82"/>
    </row>
    <row r="95" spans="1:2" x14ac:dyDescent="0.35">
      <c r="A95" s="82"/>
      <c r="B95" s="93"/>
    </row>
    <row r="96" spans="1:2" x14ac:dyDescent="0.35">
      <c r="A96" s="82"/>
      <c r="B96" s="93"/>
    </row>
    <row r="97" spans="1:2" x14ac:dyDescent="0.35">
      <c r="A97" s="82"/>
      <c r="B97" s="93"/>
    </row>
    <row r="98" spans="1:2" x14ac:dyDescent="0.35">
      <c r="A98" s="82"/>
      <c r="B98" s="93"/>
    </row>
    <row r="99" spans="1:2" x14ac:dyDescent="0.35">
      <c r="A99" s="82"/>
      <c r="B99" s="93"/>
    </row>
    <row r="100" spans="1:2" x14ac:dyDescent="0.35">
      <c r="A100" s="82"/>
      <c r="B100" s="93"/>
    </row>
    <row r="101" spans="1:2" x14ac:dyDescent="0.35">
      <c r="A101" s="82"/>
    </row>
    <row r="102" spans="1:2" x14ac:dyDescent="0.35">
      <c r="A102" s="82"/>
    </row>
    <row r="103" spans="1:2" x14ac:dyDescent="0.35">
      <c r="A103" s="82"/>
      <c r="B103" s="93"/>
    </row>
    <row r="104" spans="1:2" x14ac:dyDescent="0.35">
      <c r="A104" s="82"/>
      <c r="B104" s="93"/>
    </row>
    <row r="105" spans="1:2" x14ac:dyDescent="0.35">
      <c r="A105" s="82"/>
      <c r="B105" s="93"/>
    </row>
    <row r="106" spans="1:2" x14ac:dyDescent="0.35">
      <c r="A106" s="82"/>
      <c r="B106" s="93"/>
    </row>
    <row r="107" spans="1:2" x14ac:dyDescent="0.35">
      <c r="A107" s="82"/>
    </row>
    <row r="108" spans="1:2" x14ac:dyDescent="0.35">
      <c r="A108" s="82"/>
      <c r="B108" s="93"/>
    </row>
    <row r="109" spans="1:2" x14ac:dyDescent="0.35">
      <c r="A109" s="82"/>
      <c r="B109" s="93"/>
    </row>
    <row r="110" spans="1:2" x14ac:dyDescent="0.35">
      <c r="A110" s="82"/>
    </row>
    <row r="111" spans="1:2" x14ac:dyDescent="0.35">
      <c r="A111" s="82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7"/>
  <dimension ref="A6:E189"/>
  <sheetViews>
    <sheetView workbookViewId="0">
      <selection activeCell="F45" sqref="F45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26</v>
      </c>
      <c r="C37" s="80">
        <v>43</v>
      </c>
      <c r="D37" s="80">
        <v>63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144720</v>
      </c>
      <c r="C39" s="101">
        <v>151296</v>
      </c>
      <c r="D39" s="101">
        <v>142811969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46</v>
      </c>
      <c r="C41" s="101">
        <v>75</v>
      </c>
      <c r="D41" s="101">
        <v>55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27050</v>
      </c>
      <c r="C43" s="101">
        <v>30490</v>
      </c>
      <c r="D43" s="101">
        <v>38450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2866</v>
      </c>
      <c r="C46" s="90">
        <v>3438</v>
      </c>
      <c r="D46" s="90">
        <v>3215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704563</v>
      </c>
      <c r="C48" s="90">
        <v>929557</v>
      </c>
      <c r="D48" s="90">
        <v>352825414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3</v>
      </c>
      <c r="C72" s="90">
        <v>4</v>
      </c>
      <c r="D72" s="90">
        <v>1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700</v>
      </c>
      <c r="C74" s="90">
        <v>950</v>
      </c>
      <c r="D74" s="90">
        <v>20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1348</v>
      </c>
      <c r="C77" s="80">
        <v>1483</v>
      </c>
      <c r="D77" s="80">
        <v>1681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933252</v>
      </c>
      <c r="C79" s="80">
        <v>1019579</v>
      </c>
      <c r="D79" s="80">
        <v>1128698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6105956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61712</v>
      </c>
    </row>
    <row r="118" spans="1:2" x14ac:dyDescent="0.35">
      <c r="A118" s="82" t="s">
        <v>276</v>
      </c>
      <c r="B118" s="80">
        <v>10191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400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278</v>
      </c>
    </row>
    <row r="133" spans="1:3" x14ac:dyDescent="0.35">
      <c r="A133" s="82" t="s">
        <v>289</v>
      </c>
      <c r="B133" s="80">
        <v>556235115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434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280</v>
      </c>
      <c r="C143" s="80">
        <v>481464501</v>
      </c>
    </row>
    <row r="144" spans="1:3" x14ac:dyDescent="0.35">
      <c r="A144" s="82" t="s">
        <v>297</v>
      </c>
      <c r="B144" s="80">
        <v>19</v>
      </c>
      <c r="C144" s="80">
        <v>198273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8"/>
  <dimension ref="A6:E135"/>
  <sheetViews>
    <sheetView topLeftCell="A19" workbookViewId="0">
      <selection activeCell="B22" sqref="B2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323</v>
      </c>
      <c r="B6" s="92" t="s">
        <v>214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26</v>
      </c>
      <c r="C18" s="84"/>
      <c r="D18" s="84"/>
      <c r="E18" s="84"/>
    </row>
    <row r="19" spans="1:5" x14ac:dyDescent="0.35">
      <c r="A19" s="82" t="s">
        <v>106</v>
      </c>
      <c r="B19" s="92">
        <v>144720</v>
      </c>
      <c r="C19" s="84"/>
      <c r="D19" s="84"/>
      <c r="E19" s="84"/>
    </row>
    <row r="20" spans="1:5" x14ac:dyDescent="0.35">
      <c r="A20" s="82" t="s">
        <v>107</v>
      </c>
      <c r="B20" s="92">
        <v>43</v>
      </c>
      <c r="C20" s="84"/>
      <c r="D20" s="84"/>
      <c r="E20" s="84"/>
    </row>
    <row r="21" spans="1:5" x14ac:dyDescent="0.35">
      <c r="A21" s="82" t="s">
        <v>108</v>
      </c>
      <c r="B21" s="92">
        <v>151296</v>
      </c>
      <c r="C21" s="84"/>
      <c r="D21" s="84"/>
      <c r="E21" s="84"/>
    </row>
    <row r="22" spans="1:5" x14ac:dyDescent="0.35">
      <c r="A22" s="82" t="s">
        <v>109</v>
      </c>
      <c r="B22" s="92">
        <v>63</v>
      </c>
      <c r="C22" s="84"/>
      <c r="D22" s="84"/>
      <c r="E22" s="84"/>
    </row>
    <row r="23" spans="1:5" x14ac:dyDescent="0.35">
      <c r="A23" s="82" t="s">
        <v>110</v>
      </c>
      <c r="B23" s="92">
        <v>142811969</v>
      </c>
      <c r="C23" s="84"/>
      <c r="D23" s="84"/>
      <c r="E23" s="84"/>
    </row>
    <row r="24" spans="1:5" x14ac:dyDescent="0.35">
      <c r="A24" s="82" t="s">
        <v>111</v>
      </c>
      <c r="B24" s="92">
        <v>46</v>
      </c>
    </row>
    <row r="25" spans="1:5" x14ac:dyDescent="0.35">
      <c r="A25" s="82" t="s">
        <v>112</v>
      </c>
      <c r="B25" s="92">
        <v>27050</v>
      </c>
    </row>
    <row r="26" spans="1:5" x14ac:dyDescent="0.35">
      <c r="A26" s="82" t="s">
        <v>113</v>
      </c>
      <c r="B26" s="92">
        <v>75</v>
      </c>
    </row>
    <row r="27" spans="1:5" x14ac:dyDescent="0.35">
      <c r="A27" s="82" t="s">
        <v>114</v>
      </c>
      <c r="B27" s="92">
        <v>30490</v>
      </c>
    </row>
    <row r="28" spans="1:5" x14ac:dyDescent="0.35">
      <c r="A28" s="82" t="s">
        <v>115</v>
      </c>
      <c r="B28" s="92">
        <v>55</v>
      </c>
    </row>
    <row r="29" spans="1:5" x14ac:dyDescent="0.35">
      <c r="A29" s="82" t="s">
        <v>116</v>
      </c>
      <c r="B29" s="92">
        <v>38450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2866</v>
      </c>
    </row>
    <row r="43" spans="1:2" x14ac:dyDescent="0.35">
      <c r="A43" s="82" t="s">
        <v>130</v>
      </c>
      <c r="B43" s="93">
        <v>704563</v>
      </c>
    </row>
    <row r="44" spans="1:2" x14ac:dyDescent="0.35">
      <c r="A44" s="82" t="s">
        <v>131</v>
      </c>
      <c r="B44" s="93">
        <v>3438</v>
      </c>
    </row>
    <row r="45" spans="1:2" x14ac:dyDescent="0.35">
      <c r="A45" s="82" t="s">
        <v>132</v>
      </c>
      <c r="B45" s="93">
        <v>929557</v>
      </c>
    </row>
    <row r="46" spans="1:2" x14ac:dyDescent="0.35">
      <c r="A46" s="82" t="s">
        <v>133</v>
      </c>
      <c r="B46" s="93">
        <v>3215</v>
      </c>
    </row>
    <row r="47" spans="1:2" x14ac:dyDescent="0.35">
      <c r="A47" s="82" t="s">
        <v>134</v>
      </c>
      <c r="B47" s="93">
        <v>352825414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3</v>
      </c>
    </row>
    <row r="55" spans="1:3" x14ac:dyDescent="0.35">
      <c r="A55" s="82" t="s">
        <v>142</v>
      </c>
      <c r="B55" s="93">
        <v>700</v>
      </c>
    </row>
    <row r="56" spans="1:3" x14ac:dyDescent="0.35">
      <c r="A56" s="82" t="s">
        <v>143</v>
      </c>
      <c r="B56" s="93">
        <v>4</v>
      </c>
    </row>
    <row r="57" spans="1:3" x14ac:dyDescent="0.35">
      <c r="A57" s="82" t="s">
        <v>144</v>
      </c>
      <c r="B57" s="93">
        <v>950</v>
      </c>
    </row>
    <row r="58" spans="1:3" x14ac:dyDescent="0.35">
      <c r="A58" s="82" t="s">
        <v>145</v>
      </c>
      <c r="B58" s="93">
        <v>1</v>
      </c>
    </row>
    <row r="59" spans="1:3" x14ac:dyDescent="0.35">
      <c r="A59" s="82" t="s">
        <v>146</v>
      </c>
      <c r="B59" s="93">
        <v>20</v>
      </c>
    </row>
    <row r="60" spans="1:3" x14ac:dyDescent="0.35">
      <c r="A60" s="82" t="s">
        <v>147</v>
      </c>
      <c r="B60" s="93">
        <v>1348</v>
      </c>
    </row>
    <row r="61" spans="1:3" x14ac:dyDescent="0.35">
      <c r="A61" s="82" t="s">
        <v>148</v>
      </c>
      <c r="B61" s="93">
        <v>933252</v>
      </c>
    </row>
    <row r="62" spans="1:3" x14ac:dyDescent="0.35">
      <c r="A62" s="82" t="s">
        <v>149</v>
      </c>
      <c r="B62" s="93">
        <v>1483</v>
      </c>
    </row>
    <row r="63" spans="1:3" x14ac:dyDescent="0.35">
      <c r="A63" s="82" t="s">
        <v>150</v>
      </c>
      <c r="B63" s="93">
        <v>1019579</v>
      </c>
    </row>
    <row r="64" spans="1:3" x14ac:dyDescent="0.35">
      <c r="A64" s="82" t="s">
        <v>151</v>
      </c>
      <c r="B64" s="93">
        <v>1681</v>
      </c>
    </row>
    <row r="65" spans="1:2" x14ac:dyDescent="0.35">
      <c r="A65" s="82" t="s">
        <v>152</v>
      </c>
      <c r="B65" s="93">
        <v>1128698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6105956</v>
      </c>
    </row>
    <row r="79" spans="1:2" x14ac:dyDescent="0.35">
      <c r="A79" s="82" t="s">
        <v>166</v>
      </c>
      <c r="B79" s="90">
        <v>99601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61712</v>
      </c>
    </row>
    <row r="89" spans="1:2" x14ac:dyDescent="0.35">
      <c r="A89" s="82" t="s">
        <v>176</v>
      </c>
      <c r="B89" s="93">
        <v>10191</v>
      </c>
    </row>
    <row r="90" spans="1:2" x14ac:dyDescent="0.35">
      <c r="A90" s="82" t="s">
        <v>177</v>
      </c>
      <c r="B90" s="93">
        <v>400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4539</v>
      </c>
    </row>
    <row r="93" spans="1:2" x14ac:dyDescent="0.35">
      <c r="A93" s="82" t="s">
        <v>180</v>
      </c>
      <c r="B93" s="93">
        <v>400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280</v>
      </c>
    </row>
    <row r="96" spans="1:2" x14ac:dyDescent="0.35">
      <c r="A96" s="82" t="s">
        <v>183</v>
      </c>
      <c r="B96" s="93">
        <v>481464501</v>
      </c>
    </row>
    <row r="97" spans="1:2" x14ac:dyDescent="0.35">
      <c r="A97" s="82" t="s">
        <v>184</v>
      </c>
      <c r="B97" s="93">
        <v>19</v>
      </c>
    </row>
    <row r="98" spans="1:2" x14ac:dyDescent="0.35">
      <c r="A98" s="82" t="s">
        <v>185</v>
      </c>
      <c r="B98" s="93">
        <v>198273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278</v>
      </c>
    </row>
    <row r="106" spans="1:2" x14ac:dyDescent="0.35">
      <c r="A106" s="82" t="s">
        <v>193</v>
      </c>
      <c r="B106" s="93">
        <v>434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556235115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6:E53"/>
  <sheetViews>
    <sheetView workbookViewId="0">
      <selection activeCell="E19" sqref="E18:E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2957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34"/>
  <dimension ref="A6:E189"/>
  <sheetViews>
    <sheetView workbookViewId="0">
      <selection activeCell="G34" sqref="G34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324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1751</v>
      </c>
      <c r="C37" s="80">
        <v>1732</v>
      </c>
      <c r="D37" s="80">
        <v>1593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8009049</v>
      </c>
      <c r="C39" s="101">
        <v>8140629</v>
      </c>
      <c r="D39" s="101">
        <v>7368755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1499</v>
      </c>
      <c r="C41" s="101">
        <v>1506</v>
      </c>
      <c r="D41" s="101">
        <v>1482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1234506</v>
      </c>
      <c r="C43" s="101">
        <v>1227404</v>
      </c>
      <c r="D43" s="101">
        <v>1177086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129647</v>
      </c>
      <c r="C46" s="90">
        <v>149482</v>
      </c>
      <c r="D46" s="90">
        <v>220756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22183849</v>
      </c>
      <c r="C48" s="90">
        <v>24896245</v>
      </c>
      <c r="D48" s="90">
        <v>35816628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362</v>
      </c>
      <c r="C72" s="90">
        <v>375</v>
      </c>
      <c r="D72" s="90">
        <v>447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97128</v>
      </c>
      <c r="C74" s="90">
        <v>56839</v>
      </c>
      <c r="D74" s="90">
        <v>229615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28387</v>
      </c>
      <c r="C77" s="80">
        <v>32265</v>
      </c>
      <c r="D77" s="80">
        <v>43792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3148133</v>
      </c>
      <c r="C79" s="80">
        <v>4030418</v>
      </c>
      <c r="D79" s="80">
        <v>5657862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31</v>
      </c>
      <c r="C101" s="90">
        <v>42</v>
      </c>
      <c r="D101" s="90">
        <v>75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18037</v>
      </c>
      <c r="C103" s="80">
        <v>33328</v>
      </c>
      <c r="D103" s="80">
        <v>36655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13790577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601991</v>
      </c>
    </row>
    <row r="118" spans="1:2" x14ac:dyDescent="0.35">
      <c r="A118" s="82" t="s">
        <v>276</v>
      </c>
      <c r="B118" s="80">
        <v>678408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38593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22589</v>
      </c>
    </row>
    <row r="133" spans="1:3" x14ac:dyDescent="0.35">
      <c r="A133" s="82" t="s">
        <v>289</v>
      </c>
      <c r="B133" s="80">
        <v>428466053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29159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28491</v>
      </c>
      <c r="C143" s="80">
        <v>125360033</v>
      </c>
    </row>
    <row r="144" spans="1:3" x14ac:dyDescent="0.35">
      <c r="A144" s="82" t="s">
        <v>297</v>
      </c>
      <c r="B144" s="80">
        <v>595</v>
      </c>
      <c r="C144" s="80">
        <v>181816</v>
      </c>
    </row>
    <row r="145" spans="1:3" x14ac:dyDescent="0.35">
      <c r="A145" s="82" t="s">
        <v>298</v>
      </c>
      <c r="B145" s="80">
        <v>22</v>
      </c>
      <c r="C145" s="80">
        <v>1887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5"/>
  <dimension ref="A6:E135"/>
  <sheetViews>
    <sheetView topLeftCell="A22" workbookViewId="0">
      <selection activeCell="B42" sqref="B4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324</v>
      </c>
      <c r="B6" s="92" t="s">
        <v>214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1751</v>
      </c>
      <c r="C18" s="84"/>
      <c r="D18" s="84"/>
      <c r="E18" s="84"/>
    </row>
    <row r="19" spans="1:5" x14ac:dyDescent="0.35">
      <c r="A19" s="82" t="s">
        <v>106</v>
      </c>
      <c r="B19" s="92">
        <v>8009049</v>
      </c>
      <c r="C19" s="84"/>
      <c r="D19" s="84"/>
      <c r="E19" s="84"/>
    </row>
    <row r="20" spans="1:5" x14ac:dyDescent="0.35">
      <c r="A20" s="82" t="s">
        <v>107</v>
      </c>
      <c r="B20" s="92">
        <v>1732</v>
      </c>
      <c r="C20" s="84"/>
      <c r="D20" s="84"/>
      <c r="E20" s="84"/>
    </row>
    <row r="21" spans="1:5" x14ac:dyDescent="0.35">
      <c r="A21" s="82" t="s">
        <v>108</v>
      </c>
      <c r="B21" s="92">
        <v>8140629</v>
      </c>
      <c r="C21" s="84"/>
      <c r="D21" s="84"/>
      <c r="E21" s="84"/>
    </row>
    <row r="22" spans="1:5" x14ac:dyDescent="0.35">
      <c r="A22" s="82" t="s">
        <v>109</v>
      </c>
      <c r="B22" s="92">
        <v>1593</v>
      </c>
      <c r="C22" s="84"/>
      <c r="D22" s="84"/>
      <c r="E22" s="84"/>
    </row>
    <row r="23" spans="1:5" x14ac:dyDescent="0.35">
      <c r="A23" s="82" t="s">
        <v>110</v>
      </c>
      <c r="B23" s="92">
        <v>7368755</v>
      </c>
      <c r="C23" s="84"/>
      <c r="D23" s="84"/>
      <c r="E23" s="84"/>
    </row>
    <row r="24" spans="1:5" x14ac:dyDescent="0.35">
      <c r="A24" s="82" t="s">
        <v>111</v>
      </c>
      <c r="B24" s="92">
        <v>1499</v>
      </c>
    </row>
    <row r="25" spans="1:5" x14ac:dyDescent="0.35">
      <c r="A25" s="82" t="s">
        <v>112</v>
      </c>
      <c r="B25" s="92">
        <v>1234506</v>
      </c>
    </row>
    <row r="26" spans="1:5" x14ac:dyDescent="0.35">
      <c r="A26" s="82" t="s">
        <v>113</v>
      </c>
      <c r="B26" s="92">
        <v>1506</v>
      </c>
    </row>
    <row r="27" spans="1:5" x14ac:dyDescent="0.35">
      <c r="A27" s="82" t="s">
        <v>114</v>
      </c>
      <c r="B27" s="92">
        <v>1227404</v>
      </c>
    </row>
    <row r="28" spans="1:5" x14ac:dyDescent="0.35">
      <c r="A28" s="82" t="s">
        <v>115</v>
      </c>
      <c r="B28" s="92">
        <v>1482</v>
      </c>
    </row>
    <row r="29" spans="1:5" x14ac:dyDescent="0.35">
      <c r="A29" s="82" t="s">
        <v>116</v>
      </c>
      <c r="B29" s="92">
        <v>1177086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129647</v>
      </c>
    </row>
    <row r="43" spans="1:2" x14ac:dyDescent="0.35">
      <c r="A43" s="82" t="s">
        <v>130</v>
      </c>
      <c r="B43" s="93">
        <v>22183849</v>
      </c>
    </row>
    <row r="44" spans="1:2" x14ac:dyDescent="0.35">
      <c r="A44" s="82" t="s">
        <v>131</v>
      </c>
      <c r="B44" s="93">
        <v>149482</v>
      </c>
    </row>
    <row r="45" spans="1:2" x14ac:dyDescent="0.35">
      <c r="A45" s="82" t="s">
        <v>132</v>
      </c>
      <c r="B45" s="93">
        <v>24896245</v>
      </c>
    </row>
    <row r="46" spans="1:2" x14ac:dyDescent="0.35">
      <c r="A46" s="82" t="s">
        <v>133</v>
      </c>
      <c r="B46" s="93">
        <v>220756</v>
      </c>
    </row>
    <row r="47" spans="1:2" x14ac:dyDescent="0.35">
      <c r="A47" s="82" t="s">
        <v>134</v>
      </c>
      <c r="B47" s="93">
        <v>35816628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362</v>
      </c>
    </row>
    <row r="55" spans="1:3" x14ac:dyDescent="0.35">
      <c r="A55" s="82" t="s">
        <v>142</v>
      </c>
      <c r="B55" s="93">
        <v>97128</v>
      </c>
    </row>
    <row r="56" spans="1:3" x14ac:dyDescent="0.35">
      <c r="A56" s="82" t="s">
        <v>143</v>
      </c>
      <c r="B56" s="93">
        <v>375</v>
      </c>
    </row>
    <row r="57" spans="1:3" x14ac:dyDescent="0.35">
      <c r="A57" s="82" t="s">
        <v>144</v>
      </c>
      <c r="B57" s="93">
        <v>56839</v>
      </c>
    </row>
    <row r="58" spans="1:3" x14ac:dyDescent="0.35">
      <c r="A58" s="82" t="s">
        <v>145</v>
      </c>
      <c r="B58" s="93">
        <v>447</v>
      </c>
    </row>
    <row r="59" spans="1:3" x14ac:dyDescent="0.35">
      <c r="A59" s="82" t="s">
        <v>146</v>
      </c>
      <c r="B59" s="93">
        <v>229615</v>
      </c>
    </row>
    <row r="60" spans="1:3" x14ac:dyDescent="0.35">
      <c r="A60" s="82" t="s">
        <v>147</v>
      </c>
      <c r="B60" s="93">
        <v>28387</v>
      </c>
    </row>
    <row r="61" spans="1:3" x14ac:dyDescent="0.35">
      <c r="A61" s="82" t="s">
        <v>148</v>
      </c>
      <c r="B61" s="93">
        <v>3148133</v>
      </c>
    </row>
    <row r="62" spans="1:3" x14ac:dyDescent="0.35">
      <c r="A62" s="82" t="s">
        <v>149</v>
      </c>
      <c r="B62" s="93">
        <v>32265</v>
      </c>
    </row>
    <row r="63" spans="1:3" x14ac:dyDescent="0.35">
      <c r="A63" s="82" t="s">
        <v>150</v>
      </c>
      <c r="B63" s="93">
        <v>4030418</v>
      </c>
    </row>
    <row r="64" spans="1:3" x14ac:dyDescent="0.35">
      <c r="A64" s="82" t="s">
        <v>151</v>
      </c>
      <c r="B64" s="93">
        <v>43792</v>
      </c>
    </row>
    <row r="65" spans="1:2" x14ac:dyDescent="0.35">
      <c r="A65" s="82" t="s">
        <v>152</v>
      </c>
      <c r="B65" s="93">
        <v>5657862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31</v>
      </c>
    </row>
    <row r="73" spans="1:2" x14ac:dyDescent="0.35">
      <c r="A73" s="82" t="s">
        <v>160</v>
      </c>
      <c r="B73" s="92">
        <v>18037</v>
      </c>
    </row>
    <row r="74" spans="1:2" x14ac:dyDescent="0.35">
      <c r="A74" s="82" t="s">
        <v>161</v>
      </c>
      <c r="B74" s="92">
        <v>42</v>
      </c>
    </row>
    <row r="75" spans="1:2" x14ac:dyDescent="0.35">
      <c r="A75" s="82" t="s">
        <v>162</v>
      </c>
      <c r="B75" s="92">
        <v>33328</v>
      </c>
    </row>
    <row r="76" spans="1:2" x14ac:dyDescent="0.35">
      <c r="A76" s="82" t="s">
        <v>163</v>
      </c>
      <c r="B76" s="92">
        <v>75</v>
      </c>
    </row>
    <row r="77" spans="1:2" x14ac:dyDescent="0.35">
      <c r="A77" s="82" t="s">
        <v>164</v>
      </c>
      <c r="B77" s="92">
        <v>36655</v>
      </c>
    </row>
    <row r="78" spans="1:2" x14ac:dyDescent="0.35">
      <c r="A78" s="82" t="s">
        <v>165</v>
      </c>
      <c r="B78" s="93">
        <v>13790577</v>
      </c>
    </row>
    <row r="79" spans="1:2" x14ac:dyDescent="0.35">
      <c r="A79" s="82" t="s">
        <v>166</v>
      </c>
      <c r="B79" s="90">
        <v>3451947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601991</v>
      </c>
    </row>
    <row r="89" spans="1:2" x14ac:dyDescent="0.35">
      <c r="A89" s="82" t="s">
        <v>176</v>
      </c>
      <c r="B89" s="93">
        <v>678408</v>
      </c>
    </row>
    <row r="90" spans="1:2" x14ac:dyDescent="0.35">
      <c r="A90" s="82" t="s">
        <v>177</v>
      </c>
      <c r="B90" s="93">
        <v>38593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45017</v>
      </c>
    </row>
    <row r="93" spans="1:2" x14ac:dyDescent="0.35">
      <c r="A93" s="82" t="s">
        <v>180</v>
      </c>
      <c r="B93" s="93">
        <v>38593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28491</v>
      </c>
    </row>
    <row r="96" spans="1:2" x14ac:dyDescent="0.35">
      <c r="A96" s="82" t="s">
        <v>183</v>
      </c>
      <c r="B96" s="93">
        <v>125360033</v>
      </c>
    </row>
    <row r="97" spans="1:2" x14ac:dyDescent="0.35">
      <c r="A97" s="82" t="s">
        <v>184</v>
      </c>
      <c r="B97" s="93">
        <v>595</v>
      </c>
    </row>
    <row r="98" spans="1:2" x14ac:dyDescent="0.35">
      <c r="A98" s="82" t="s">
        <v>185</v>
      </c>
      <c r="B98" s="93">
        <v>181816</v>
      </c>
    </row>
    <row r="99" spans="1:2" x14ac:dyDescent="0.35">
      <c r="A99" s="82" t="s">
        <v>186</v>
      </c>
      <c r="B99" s="93">
        <v>22</v>
      </c>
    </row>
    <row r="100" spans="1:2" x14ac:dyDescent="0.35">
      <c r="A100" s="82" t="s">
        <v>187</v>
      </c>
      <c r="B100" s="93">
        <v>1887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22589</v>
      </c>
    </row>
    <row r="106" spans="1:2" x14ac:dyDescent="0.35">
      <c r="A106" s="82" t="s">
        <v>193</v>
      </c>
      <c r="B106" s="93">
        <v>29159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428466053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6:E53"/>
  <sheetViews>
    <sheetView workbookViewId="0">
      <selection activeCell="B6" sqref="B6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43164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41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325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3961</v>
      </c>
      <c r="C37" s="80">
        <v>3609</v>
      </c>
      <c r="D37" s="80">
        <v>3527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46742224</v>
      </c>
      <c r="C39" s="101">
        <v>44048690</v>
      </c>
      <c r="D39" s="101">
        <v>43164983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1733</v>
      </c>
      <c r="C41" s="101">
        <v>1849</v>
      </c>
      <c r="D41" s="101">
        <v>1755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1473185</v>
      </c>
      <c r="C43" s="101">
        <v>1612433</v>
      </c>
      <c r="D43" s="101">
        <v>1554518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643690</v>
      </c>
      <c r="C46" s="90">
        <v>701907</v>
      </c>
      <c r="D46" s="90">
        <v>984630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135315726</v>
      </c>
      <c r="C48" s="90">
        <v>143490701</v>
      </c>
      <c r="D48" s="90">
        <v>199161152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1326</v>
      </c>
      <c r="C72" s="90">
        <v>1185</v>
      </c>
      <c r="D72" s="90">
        <v>1270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367720</v>
      </c>
      <c r="C74" s="90">
        <v>247881</v>
      </c>
      <c r="D74" s="90">
        <v>588630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143065</v>
      </c>
      <c r="C77" s="80">
        <v>161337</v>
      </c>
      <c r="D77" s="80">
        <v>217896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27238895</v>
      </c>
      <c r="C79" s="80">
        <v>33452169</v>
      </c>
      <c r="D79" s="80">
        <v>46603080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232</v>
      </c>
      <c r="C101" s="90">
        <v>309</v>
      </c>
      <c r="D101" s="90">
        <v>509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327943</v>
      </c>
      <c r="C103" s="80">
        <v>339118</v>
      </c>
      <c r="D103" s="80">
        <v>336615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49194930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5338748</v>
      </c>
    </row>
    <row r="118" spans="1:2" x14ac:dyDescent="0.35">
      <c r="A118" s="82" t="s">
        <v>276</v>
      </c>
      <c r="B118" s="80">
        <v>2721843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93979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64218</v>
      </c>
    </row>
    <row r="133" spans="1:3" x14ac:dyDescent="0.35">
      <c r="A133" s="82" t="s">
        <v>289</v>
      </c>
      <c r="B133" s="80">
        <v>940472025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82977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67774</v>
      </c>
      <c r="C143" s="80">
        <v>628793291</v>
      </c>
    </row>
    <row r="144" spans="1:3" x14ac:dyDescent="0.35">
      <c r="A144" s="82" t="s">
        <v>297</v>
      </c>
      <c r="B144" s="80">
        <v>951</v>
      </c>
      <c r="C144" s="80">
        <v>506504</v>
      </c>
    </row>
    <row r="145" spans="1:3" x14ac:dyDescent="0.35">
      <c r="A145" s="82" t="s">
        <v>298</v>
      </c>
      <c r="B145" s="80">
        <v>47</v>
      </c>
      <c r="C145" s="80">
        <v>18456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42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325</v>
      </c>
      <c r="B6" s="92" t="s">
        <v>214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3961</v>
      </c>
      <c r="C18" s="84"/>
      <c r="D18" s="84"/>
      <c r="E18" s="84"/>
    </row>
    <row r="19" spans="1:5" x14ac:dyDescent="0.35">
      <c r="A19" s="82" t="s">
        <v>106</v>
      </c>
      <c r="B19" s="92">
        <v>46742224</v>
      </c>
      <c r="C19" s="84"/>
      <c r="D19" s="84"/>
      <c r="E19" s="84"/>
    </row>
    <row r="20" spans="1:5" x14ac:dyDescent="0.35">
      <c r="A20" s="82" t="s">
        <v>107</v>
      </c>
      <c r="B20" s="92">
        <v>3609</v>
      </c>
      <c r="C20" s="84"/>
      <c r="D20" s="84"/>
      <c r="E20" s="84"/>
    </row>
    <row r="21" spans="1:5" x14ac:dyDescent="0.35">
      <c r="A21" s="82" t="s">
        <v>108</v>
      </c>
      <c r="B21" s="92">
        <v>44048690</v>
      </c>
      <c r="C21" s="84"/>
      <c r="D21" s="84"/>
      <c r="E21" s="84"/>
    </row>
    <row r="22" spans="1:5" x14ac:dyDescent="0.35">
      <c r="A22" s="82" t="s">
        <v>109</v>
      </c>
      <c r="B22" s="92">
        <v>3527</v>
      </c>
      <c r="C22" s="84"/>
      <c r="D22" s="84"/>
      <c r="E22" s="84"/>
    </row>
    <row r="23" spans="1:5" x14ac:dyDescent="0.35">
      <c r="A23" s="82" t="s">
        <v>110</v>
      </c>
      <c r="B23" s="92">
        <v>43164983</v>
      </c>
      <c r="C23" s="84"/>
      <c r="D23" s="84"/>
      <c r="E23" s="84"/>
    </row>
    <row r="24" spans="1:5" x14ac:dyDescent="0.35">
      <c r="A24" s="82" t="s">
        <v>111</v>
      </c>
      <c r="B24" s="92">
        <v>1733</v>
      </c>
    </row>
    <row r="25" spans="1:5" x14ac:dyDescent="0.35">
      <c r="A25" s="82" t="s">
        <v>112</v>
      </c>
      <c r="B25" s="92">
        <v>1473185</v>
      </c>
    </row>
    <row r="26" spans="1:5" x14ac:dyDescent="0.35">
      <c r="A26" s="82" t="s">
        <v>113</v>
      </c>
      <c r="B26" s="92">
        <v>1849</v>
      </c>
    </row>
    <row r="27" spans="1:5" x14ac:dyDescent="0.35">
      <c r="A27" s="82" t="s">
        <v>114</v>
      </c>
      <c r="B27" s="92">
        <v>1612433</v>
      </c>
    </row>
    <row r="28" spans="1:5" x14ac:dyDescent="0.35">
      <c r="A28" s="82" t="s">
        <v>115</v>
      </c>
      <c r="B28" s="92">
        <v>1755</v>
      </c>
    </row>
    <row r="29" spans="1:5" x14ac:dyDescent="0.35">
      <c r="A29" s="82" t="s">
        <v>116</v>
      </c>
      <c r="B29" s="92">
        <v>1554518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643690</v>
      </c>
    </row>
    <row r="43" spans="1:2" x14ac:dyDescent="0.35">
      <c r="A43" s="82" t="s">
        <v>130</v>
      </c>
      <c r="B43" s="93">
        <v>135315726</v>
      </c>
    </row>
    <row r="44" spans="1:2" x14ac:dyDescent="0.35">
      <c r="A44" s="82" t="s">
        <v>131</v>
      </c>
      <c r="B44" s="93">
        <v>701907</v>
      </c>
    </row>
    <row r="45" spans="1:2" x14ac:dyDescent="0.35">
      <c r="A45" s="82" t="s">
        <v>132</v>
      </c>
      <c r="B45" s="93">
        <v>143490701</v>
      </c>
    </row>
    <row r="46" spans="1:2" x14ac:dyDescent="0.35">
      <c r="A46" s="82" t="s">
        <v>133</v>
      </c>
      <c r="B46" s="93">
        <v>984630</v>
      </c>
    </row>
    <row r="47" spans="1:2" x14ac:dyDescent="0.35">
      <c r="A47" s="82" t="s">
        <v>134</v>
      </c>
      <c r="B47" s="93">
        <v>199161152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1326</v>
      </c>
    </row>
    <row r="55" spans="1:3" x14ac:dyDescent="0.35">
      <c r="A55" s="82" t="s">
        <v>142</v>
      </c>
      <c r="B55" s="93">
        <v>367720</v>
      </c>
    </row>
    <row r="56" spans="1:3" x14ac:dyDescent="0.35">
      <c r="A56" s="82" t="s">
        <v>143</v>
      </c>
      <c r="B56" s="93">
        <v>1185</v>
      </c>
    </row>
    <row r="57" spans="1:3" x14ac:dyDescent="0.35">
      <c r="A57" s="82" t="s">
        <v>144</v>
      </c>
      <c r="B57" s="93">
        <v>247881</v>
      </c>
    </row>
    <row r="58" spans="1:3" x14ac:dyDescent="0.35">
      <c r="A58" s="82" t="s">
        <v>145</v>
      </c>
      <c r="B58" s="93">
        <v>1270</v>
      </c>
    </row>
    <row r="59" spans="1:3" x14ac:dyDescent="0.35">
      <c r="A59" s="82" t="s">
        <v>146</v>
      </c>
      <c r="B59" s="93">
        <v>588630</v>
      </c>
    </row>
    <row r="60" spans="1:3" x14ac:dyDescent="0.35">
      <c r="A60" s="82" t="s">
        <v>147</v>
      </c>
      <c r="B60" s="93">
        <v>143065</v>
      </c>
    </row>
    <row r="61" spans="1:3" x14ac:dyDescent="0.35">
      <c r="A61" s="82" t="s">
        <v>148</v>
      </c>
      <c r="B61" s="93">
        <v>27238895</v>
      </c>
    </row>
    <row r="62" spans="1:3" x14ac:dyDescent="0.35">
      <c r="A62" s="82" t="s">
        <v>149</v>
      </c>
      <c r="B62" s="93">
        <v>161337</v>
      </c>
    </row>
    <row r="63" spans="1:3" x14ac:dyDescent="0.35">
      <c r="A63" s="82" t="s">
        <v>150</v>
      </c>
      <c r="B63" s="93">
        <v>33452169</v>
      </c>
    </row>
    <row r="64" spans="1:3" x14ac:dyDescent="0.35">
      <c r="A64" s="82" t="s">
        <v>151</v>
      </c>
      <c r="B64" s="93">
        <v>217896</v>
      </c>
    </row>
    <row r="65" spans="1:2" x14ac:dyDescent="0.35">
      <c r="A65" s="82" t="s">
        <v>152</v>
      </c>
      <c r="B65" s="93">
        <v>46603080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232</v>
      </c>
    </row>
    <row r="73" spans="1:2" x14ac:dyDescent="0.35">
      <c r="A73" s="82" t="s">
        <v>160</v>
      </c>
      <c r="B73" s="92">
        <v>327943</v>
      </c>
    </row>
    <row r="74" spans="1:2" x14ac:dyDescent="0.35">
      <c r="A74" s="82" t="s">
        <v>161</v>
      </c>
      <c r="B74" s="92">
        <v>309</v>
      </c>
    </row>
    <row r="75" spans="1:2" x14ac:dyDescent="0.35">
      <c r="A75" s="82" t="s">
        <v>162</v>
      </c>
      <c r="B75" s="92">
        <v>339118</v>
      </c>
    </row>
    <row r="76" spans="1:2" x14ac:dyDescent="0.35">
      <c r="A76" s="82" t="s">
        <v>163</v>
      </c>
      <c r="B76" s="92">
        <v>509</v>
      </c>
    </row>
    <row r="77" spans="1:2" x14ac:dyDescent="0.35">
      <c r="A77" s="82" t="s">
        <v>164</v>
      </c>
      <c r="B77" s="92">
        <v>336615</v>
      </c>
    </row>
    <row r="78" spans="1:2" x14ac:dyDescent="0.35">
      <c r="A78" s="82" t="s">
        <v>165</v>
      </c>
      <c r="B78" s="93">
        <v>49194930</v>
      </c>
    </row>
    <row r="79" spans="1:2" x14ac:dyDescent="0.35">
      <c r="A79" s="82" t="s">
        <v>166</v>
      </c>
      <c r="B79" s="90">
        <v>8549446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5338748</v>
      </c>
    </row>
    <row r="89" spans="1:2" x14ac:dyDescent="0.35">
      <c r="A89" s="82" t="s">
        <v>176</v>
      </c>
      <c r="B89" s="93">
        <v>2721843</v>
      </c>
    </row>
    <row r="90" spans="1:2" x14ac:dyDescent="0.35">
      <c r="A90" s="82" t="s">
        <v>177</v>
      </c>
      <c r="B90" s="93">
        <v>93979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122870</v>
      </c>
    </row>
    <row r="93" spans="1:2" x14ac:dyDescent="0.35">
      <c r="A93" s="82" t="s">
        <v>180</v>
      </c>
      <c r="B93" s="93">
        <v>93979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67774</v>
      </c>
    </row>
    <row r="96" spans="1:2" x14ac:dyDescent="0.35">
      <c r="A96" s="82" t="s">
        <v>183</v>
      </c>
      <c r="B96" s="93">
        <v>628793291</v>
      </c>
    </row>
    <row r="97" spans="1:2" x14ac:dyDescent="0.35">
      <c r="A97" s="82" t="s">
        <v>184</v>
      </c>
      <c r="B97" s="93">
        <v>951</v>
      </c>
    </row>
    <row r="98" spans="1:2" x14ac:dyDescent="0.35">
      <c r="A98" s="82" t="s">
        <v>185</v>
      </c>
      <c r="B98" s="93">
        <v>506504</v>
      </c>
    </row>
    <row r="99" spans="1:2" x14ac:dyDescent="0.35">
      <c r="A99" s="82" t="s">
        <v>186</v>
      </c>
      <c r="B99" s="93">
        <v>47</v>
      </c>
    </row>
    <row r="100" spans="1:2" x14ac:dyDescent="0.35">
      <c r="A100" s="82" t="s">
        <v>187</v>
      </c>
      <c r="B100" s="93">
        <v>18456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64218</v>
      </c>
    </row>
    <row r="106" spans="1:2" x14ac:dyDescent="0.35">
      <c r="A106" s="82" t="s">
        <v>193</v>
      </c>
      <c r="B106" s="93">
        <v>82977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940472025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3"/>
  <dimension ref="A6:E52"/>
  <sheetViews>
    <sheetView topLeftCell="A3" workbookViewId="0">
      <selection activeCell="F41" sqref="F40:F4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117171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48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326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39</v>
      </c>
      <c r="C46" s="90">
        <v>97</v>
      </c>
      <c r="D46" s="90">
        <v>76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44908</v>
      </c>
      <c r="C48" s="90">
        <v>77474</v>
      </c>
      <c r="D48" s="90">
        <v>71726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7</v>
      </c>
      <c r="C77" s="80">
        <v>8</v>
      </c>
      <c r="D77" s="80">
        <v>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11122</v>
      </c>
      <c r="C79" s="80">
        <v>4886</v>
      </c>
      <c r="D79" s="80">
        <v>5563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27467</v>
      </c>
    </row>
    <row r="118" spans="1:2" x14ac:dyDescent="0.35">
      <c r="A118" s="82" t="s">
        <v>276</v>
      </c>
      <c r="B118" s="80">
        <v>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29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6</v>
      </c>
    </row>
    <row r="133" spans="1:3" x14ac:dyDescent="0.35">
      <c r="A133" s="82" t="s">
        <v>289</v>
      </c>
      <c r="B133" s="80">
        <v>4864922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4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6</v>
      </c>
      <c r="C143" s="80">
        <v>15262</v>
      </c>
    </row>
    <row r="144" spans="1:3" x14ac:dyDescent="0.35">
      <c r="A144" s="82" t="s">
        <v>297</v>
      </c>
      <c r="B144" s="80">
        <v>3</v>
      </c>
      <c r="C144" s="80">
        <v>8063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49"/>
  <dimension ref="A6:E135"/>
  <sheetViews>
    <sheetView topLeftCell="A85" workbookViewId="0">
      <selection activeCell="B95" sqref="B95:B98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326</v>
      </c>
      <c r="B6" s="92" t="s">
        <v>214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0</v>
      </c>
    </row>
    <row r="25" spans="1:5" x14ac:dyDescent="0.35">
      <c r="A25" s="82" t="s">
        <v>112</v>
      </c>
      <c r="B25" s="92">
        <v>0</v>
      </c>
    </row>
    <row r="26" spans="1:5" x14ac:dyDescent="0.35">
      <c r="A26" s="82" t="s">
        <v>113</v>
      </c>
      <c r="B26" s="92">
        <v>0</v>
      </c>
    </row>
    <row r="27" spans="1:5" x14ac:dyDescent="0.35">
      <c r="A27" s="82" t="s">
        <v>114</v>
      </c>
      <c r="B27" s="92">
        <v>0</v>
      </c>
    </row>
    <row r="28" spans="1:5" x14ac:dyDescent="0.35">
      <c r="A28" s="82" t="s">
        <v>115</v>
      </c>
      <c r="B28" s="92">
        <v>0</v>
      </c>
    </row>
    <row r="29" spans="1:5" x14ac:dyDescent="0.35">
      <c r="A29" s="82" t="s">
        <v>116</v>
      </c>
      <c r="B29" s="92">
        <v>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39</v>
      </c>
    </row>
    <row r="43" spans="1:2" x14ac:dyDescent="0.35">
      <c r="A43" s="82" t="s">
        <v>130</v>
      </c>
      <c r="B43" s="93">
        <v>44908</v>
      </c>
    </row>
    <row r="44" spans="1:2" x14ac:dyDescent="0.35">
      <c r="A44" s="82" t="s">
        <v>131</v>
      </c>
      <c r="B44" s="93">
        <v>97</v>
      </c>
    </row>
    <row r="45" spans="1:2" x14ac:dyDescent="0.35">
      <c r="A45" s="82" t="s">
        <v>132</v>
      </c>
      <c r="B45" s="93">
        <v>77474</v>
      </c>
    </row>
    <row r="46" spans="1:2" x14ac:dyDescent="0.35">
      <c r="A46" s="82" t="s">
        <v>133</v>
      </c>
      <c r="B46" s="93">
        <v>76</v>
      </c>
    </row>
    <row r="47" spans="1:2" x14ac:dyDescent="0.35">
      <c r="A47" s="82" t="s">
        <v>134</v>
      </c>
      <c r="B47" s="93">
        <v>71726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0</v>
      </c>
    </row>
    <row r="57" spans="1:3" x14ac:dyDescent="0.35">
      <c r="A57" s="82" t="s">
        <v>144</v>
      </c>
      <c r="B57" s="93">
        <v>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7</v>
      </c>
    </row>
    <row r="61" spans="1:3" x14ac:dyDescent="0.35">
      <c r="A61" s="82" t="s">
        <v>148</v>
      </c>
      <c r="B61" s="93">
        <v>11122</v>
      </c>
    </row>
    <row r="62" spans="1:3" x14ac:dyDescent="0.35">
      <c r="A62" s="82" t="s">
        <v>149</v>
      </c>
      <c r="B62" s="93">
        <v>8</v>
      </c>
    </row>
    <row r="63" spans="1:3" x14ac:dyDescent="0.35">
      <c r="A63" s="82" t="s">
        <v>150</v>
      </c>
      <c r="B63" s="93">
        <v>4886</v>
      </c>
    </row>
    <row r="64" spans="1:3" x14ac:dyDescent="0.35">
      <c r="A64" s="82" t="s">
        <v>151</v>
      </c>
      <c r="B64" s="93">
        <v>5</v>
      </c>
    </row>
    <row r="65" spans="1:2" x14ac:dyDescent="0.35">
      <c r="A65" s="82" t="s">
        <v>152</v>
      </c>
      <c r="B65" s="93">
        <v>5563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0</v>
      </c>
    </row>
    <row r="79" spans="1:2" x14ac:dyDescent="0.35">
      <c r="A79" s="82" t="s">
        <v>166</v>
      </c>
      <c r="B79" s="90">
        <v>1580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27467</v>
      </c>
    </row>
    <row r="89" spans="1:2" x14ac:dyDescent="0.35">
      <c r="A89" s="82" t="s">
        <v>176</v>
      </c>
      <c r="B89" s="93">
        <v>0</v>
      </c>
    </row>
    <row r="90" spans="1:2" x14ac:dyDescent="0.35">
      <c r="A90" s="82" t="s">
        <v>177</v>
      </c>
      <c r="B90" s="93">
        <v>29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40</v>
      </c>
    </row>
    <row r="93" spans="1:2" x14ac:dyDescent="0.35">
      <c r="A93" s="82" t="s">
        <v>180</v>
      </c>
      <c r="B93" s="93">
        <v>29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6</v>
      </c>
    </row>
    <row r="96" spans="1:2" x14ac:dyDescent="0.35">
      <c r="A96" s="82" t="s">
        <v>183</v>
      </c>
      <c r="B96" s="93">
        <v>15262</v>
      </c>
    </row>
    <row r="97" spans="1:2" x14ac:dyDescent="0.35">
      <c r="A97" s="82" t="s">
        <v>184</v>
      </c>
      <c r="B97" s="93">
        <v>3</v>
      </c>
    </row>
    <row r="98" spans="1:2" x14ac:dyDescent="0.35">
      <c r="A98" s="82" t="s">
        <v>185</v>
      </c>
      <c r="B98" s="93">
        <v>8063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6</v>
      </c>
    </row>
    <row r="106" spans="1:2" x14ac:dyDescent="0.35">
      <c r="A106" s="82" t="s">
        <v>193</v>
      </c>
      <c r="B106" s="93">
        <v>4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4864922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4"/>
  <dimension ref="A6:E38"/>
  <sheetViews>
    <sheetView workbookViewId="0">
      <selection activeCell="F12" sqref="F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327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516</v>
      </c>
      <c r="C37" s="80">
        <v>507</v>
      </c>
      <c r="D37" s="80">
        <v>655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12112194</v>
      </c>
      <c r="C39" s="101">
        <v>12661140</v>
      </c>
      <c r="D39" s="101">
        <v>16111996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146</v>
      </c>
      <c r="C41" s="101">
        <v>186</v>
      </c>
      <c r="D41" s="101">
        <v>197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140742</v>
      </c>
      <c r="C43" s="101">
        <v>158788</v>
      </c>
      <c r="D43" s="101">
        <v>180914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101081</v>
      </c>
      <c r="C46" s="90">
        <v>131970</v>
      </c>
      <c r="D46" s="90">
        <v>203046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28565246</v>
      </c>
      <c r="C48" s="90">
        <v>35170199</v>
      </c>
      <c r="D48" s="90">
        <v>53685235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243</v>
      </c>
      <c r="C72" s="90">
        <v>212</v>
      </c>
      <c r="D72" s="90">
        <v>225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53418</v>
      </c>
      <c r="C74" s="90">
        <v>56723</v>
      </c>
      <c r="D74" s="90">
        <v>220097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18404</v>
      </c>
      <c r="C77" s="80">
        <v>26151</v>
      </c>
      <c r="D77" s="80">
        <v>41994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6104441</v>
      </c>
      <c r="C79" s="80">
        <v>9063551</v>
      </c>
      <c r="D79" s="80">
        <v>14911893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11</v>
      </c>
      <c r="C101" s="90">
        <v>26</v>
      </c>
      <c r="D101" s="90">
        <v>65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16742</v>
      </c>
      <c r="C103" s="80">
        <v>23070</v>
      </c>
      <c r="D103" s="80">
        <v>56457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6524274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1319366</v>
      </c>
    </row>
    <row r="118" spans="1:2" x14ac:dyDescent="0.35">
      <c r="A118" s="82" t="s">
        <v>276</v>
      </c>
      <c r="B118" s="80">
        <v>461027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10898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8121</v>
      </c>
    </row>
    <row r="133" spans="1:3" x14ac:dyDescent="0.35">
      <c r="A133" s="82" t="s">
        <v>289</v>
      </c>
      <c r="B133" s="80">
        <v>646619715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7578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8924</v>
      </c>
      <c r="C143" s="80">
        <v>155558709</v>
      </c>
    </row>
    <row r="144" spans="1:3" x14ac:dyDescent="0.35">
      <c r="A144" s="82" t="s">
        <v>297</v>
      </c>
      <c r="B144" s="80">
        <v>30</v>
      </c>
      <c r="C144" s="80">
        <v>36639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1"/>
  <dimension ref="A6:E135"/>
  <sheetViews>
    <sheetView workbookViewId="0">
      <selection activeCell="F39" sqref="F3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327</v>
      </c>
      <c r="B6" s="92" t="s">
        <v>214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516</v>
      </c>
      <c r="C18" s="84"/>
      <c r="D18" s="84"/>
      <c r="E18" s="84"/>
    </row>
    <row r="19" spans="1:5" x14ac:dyDescent="0.35">
      <c r="A19" s="82" t="s">
        <v>106</v>
      </c>
      <c r="B19" s="92">
        <v>12112194</v>
      </c>
      <c r="C19" s="84"/>
      <c r="D19" s="84"/>
      <c r="E19" s="84"/>
    </row>
    <row r="20" spans="1:5" x14ac:dyDescent="0.35">
      <c r="A20" s="82" t="s">
        <v>107</v>
      </c>
      <c r="B20" s="92">
        <v>507</v>
      </c>
      <c r="C20" s="84"/>
      <c r="D20" s="84"/>
      <c r="E20" s="84"/>
    </row>
    <row r="21" spans="1:5" x14ac:dyDescent="0.35">
      <c r="A21" s="82" t="s">
        <v>108</v>
      </c>
      <c r="B21" s="92">
        <v>12661140</v>
      </c>
      <c r="C21" s="84"/>
      <c r="D21" s="84"/>
      <c r="E21" s="84"/>
    </row>
    <row r="22" spans="1:5" x14ac:dyDescent="0.35">
      <c r="A22" s="82" t="s">
        <v>109</v>
      </c>
      <c r="B22" s="92">
        <v>655</v>
      </c>
      <c r="C22" s="84"/>
      <c r="D22" s="84"/>
      <c r="E22" s="84"/>
    </row>
    <row r="23" spans="1:5" x14ac:dyDescent="0.35">
      <c r="A23" s="82" t="s">
        <v>110</v>
      </c>
      <c r="B23" s="92">
        <v>16111996</v>
      </c>
      <c r="C23" s="84"/>
      <c r="D23" s="84"/>
      <c r="E23" s="84"/>
    </row>
    <row r="24" spans="1:5" x14ac:dyDescent="0.35">
      <c r="A24" s="82" t="s">
        <v>111</v>
      </c>
      <c r="B24" s="92">
        <v>146</v>
      </c>
    </row>
    <row r="25" spans="1:5" x14ac:dyDescent="0.35">
      <c r="A25" s="82" t="s">
        <v>112</v>
      </c>
      <c r="B25" s="92">
        <v>140742</v>
      </c>
    </row>
    <row r="26" spans="1:5" x14ac:dyDescent="0.35">
      <c r="A26" s="82" t="s">
        <v>113</v>
      </c>
      <c r="B26" s="92">
        <v>186</v>
      </c>
    </row>
    <row r="27" spans="1:5" x14ac:dyDescent="0.35">
      <c r="A27" s="82" t="s">
        <v>114</v>
      </c>
      <c r="B27" s="92">
        <v>158788</v>
      </c>
    </row>
    <row r="28" spans="1:5" x14ac:dyDescent="0.35">
      <c r="A28" s="82" t="s">
        <v>115</v>
      </c>
      <c r="B28" s="92">
        <v>197</v>
      </c>
    </row>
    <row r="29" spans="1:5" x14ac:dyDescent="0.35">
      <c r="A29" s="82" t="s">
        <v>116</v>
      </c>
      <c r="B29" s="92">
        <v>180914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101081</v>
      </c>
    </row>
    <row r="43" spans="1:2" x14ac:dyDescent="0.35">
      <c r="A43" s="82" t="s">
        <v>130</v>
      </c>
      <c r="B43" s="93">
        <v>28565246</v>
      </c>
    </row>
    <row r="44" spans="1:2" x14ac:dyDescent="0.35">
      <c r="A44" s="82" t="s">
        <v>131</v>
      </c>
      <c r="B44" s="93">
        <v>131970</v>
      </c>
    </row>
    <row r="45" spans="1:2" x14ac:dyDescent="0.35">
      <c r="A45" s="82" t="s">
        <v>132</v>
      </c>
      <c r="B45" s="93">
        <v>35170199</v>
      </c>
    </row>
    <row r="46" spans="1:2" x14ac:dyDescent="0.35">
      <c r="A46" s="82" t="s">
        <v>133</v>
      </c>
      <c r="B46" s="93">
        <v>203046</v>
      </c>
    </row>
    <row r="47" spans="1:2" x14ac:dyDescent="0.35">
      <c r="A47" s="82" t="s">
        <v>134</v>
      </c>
      <c r="B47" s="93">
        <v>53685235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243</v>
      </c>
    </row>
    <row r="55" spans="1:3" x14ac:dyDescent="0.35">
      <c r="A55" s="82" t="s">
        <v>142</v>
      </c>
      <c r="B55" s="93">
        <v>53418</v>
      </c>
    </row>
    <row r="56" spans="1:3" x14ac:dyDescent="0.35">
      <c r="A56" s="82" t="s">
        <v>143</v>
      </c>
      <c r="B56" s="93">
        <v>212</v>
      </c>
    </row>
    <row r="57" spans="1:3" x14ac:dyDescent="0.35">
      <c r="A57" s="82" t="s">
        <v>144</v>
      </c>
      <c r="B57" s="93">
        <v>56723</v>
      </c>
    </row>
    <row r="58" spans="1:3" x14ac:dyDescent="0.35">
      <c r="A58" s="82" t="s">
        <v>145</v>
      </c>
      <c r="B58" s="93">
        <v>225</v>
      </c>
    </row>
    <row r="59" spans="1:3" x14ac:dyDescent="0.35">
      <c r="A59" s="82" t="s">
        <v>146</v>
      </c>
      <c r="B59" s="93">
        <v>220097</v>
      </c>
    </row>
    <row r="60" spans="1:3" x14ac:dyDescent="0.35">
      <c r="A60" s="82" t="s">
        <v>147</v>
      </c>
      <c r="B60" s="93">
        <v>18404</v>
      </c>
    </row>
    <row r="61" spans="1:3" x14ac:dyDescent="0.35">
      <c r="A61" s="82" t="s">
        <v>148</v>
      </c>
      <c r="B61" s="93">
        <v>6104441</v>
      </c>
    </row>
    <row r="62" spans="1:3" x14ac:dyDescent="0.35">
      <c r="A62" s="82" t="s">
        <v>149</v>
      </c>
      <c r="B62" s="93">
        <v>26151</v>
      </c>
    </row>
    <row r="63" spans="1:3" x14ac:dyDescent="0.35">
      <c r="A63" s="82" t="s">
        <v>150</v>
      </c>
      <c r="B63" s="93">
        <v>9063551</v>
      </c>
    </row>
    <row r="64" spans="1:3" x14ac:dyDescent="0.35">
      <c r="A64" s="82" t="s">
        <v>151</v>
      </c>
      <c r="B64" s="93">
        <v>41994</v>
      </c>
    </row>
    <row r="65" spans="1:2" x14ac:dyDescent="0.35">
      <c r="A65" s="82" t="s">
        <v>152</v>
      </c>
      <c r="B65" s="93">
        <v>14911893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11</v>
      </c>
    </row>
    <row r="73" spans="1:2" x14ac:dyDescent="0.35">
      <c r="A73" s="82" t="s">
        <v>160</v>
      </c>
      <c r="B73" s="92">
        <v>16742</v>
      </c>
    </row>
    <row r="74" spans="1:2" x14ac:dyDescent="0.35">
      <c r="A74" s="82" t="s">
        <v>161</v>
      </c>
      <c r="B74" s="92">
        <v>26</v>
      </c>
    </row>
    <row r="75" spans="1:2" x14ac:dyDescent="0.35">
      <c r="A75" s="82" t="s">
        <v>162</v>
      </c>
      <c r="B75" s="92">
        <v>23070</v>
      </c>
    </row>
    <row r="76" spans="1:2" x14ac:dyDescent="0.35">
      <c r="A76" s="82" t="s">
        <v>163</v>
      </c>
      <c r="B76" s="92">
        <v>65</v>
      </c>
    </row>
    <row r="77" spans="1:2" x14ac:dyDescent="0.35">
      <c r="A77" s="82" t="s">
        <v>164</v>
      </c>
      <c r="B77" s="92">
        <v>56457</v>
      </c>
    </row>
    <row r="78" spans="1:2" x14ac:dyDescent="0.35">
      <c r="A78" s="82" t="s">
        <v>165</v>
      </c>
      <c r="B78" s="93">
        <v>6524274</v>
      </c>
    </row>
    <row r="79" spans="1:2" x14ac:dyDescent="0.35">
      <c r="A79" s="82" t="s">
        <v>166</v>
      </c>
      <c r="B79" s="90">
        <v>427490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1319366</v>
      </c>
    </row>
    <row r="89" spans="1:2" x14ac:dyDescent="0.35">
      <c r="A89" s="82" t="s">
        <v>176</v>
      </c>
      <c r="B89" s="93">
        <v>461027</v>
      </c>
    </row>
    <row r="90" spans="1:2" x14ac:dyDescent="0.35">
      <c r="A90" s="82" t="s">
        <v>177</v>
      </c>
      <c r="B90" s="93">
        <v>10898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16340</v>
      </c>
    </row>
    <row r="93" spans="1:2" x14ac:dyDescent="0.35">
      <c r="A93" s="82" t="s">
        <v>180</v>
      </c>
      <c r="B93" s="93">
        <v>10898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8924</v>
      </c>
    </row>
    <row r="96" spans="1:2" x14ac:dyDescent="0.35">
      <c r="A96" s="82" t="s">
        <v>183</v>
      </c>
      <c r="B96" s="93">
        <v>155558709</v>
      </c>
    </row>
    <row r="97" spans="1:2" x14ac:dyDescent="0.35">
      <c r="A97" s="82" t="s">
        <v>184</v>
      </c>
      <c r="B97" s="93">
        <v>30</v>
      </c>
    </row>
    <row r="98" spans="1:2" x14ac:dyDescent="0.35">
      <c r="A98" s="82" t="s">
        <v>185</v>
      </c>
      <c r="B98" s="93">
        <v>36639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8121</v>
      </c>
    </row>
    <row r="106" spans="1:2" x14ac:dyDescent="0.35">
      <c r="A106" s="82" t="s">
        <v>193</v>
      </c>
      <c r="B106" s="93">
        <v>7578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646619715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5"/>
  <dimension ref="A6:E52"/>
  <sheetViews>
    <sheetView workbookViewId="0">
      <selection activeCell="F19" sqref="F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16265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70"/>
  <dimension ref="A6:E163"/>
  <sheetViews>
    <sheetView workbookViewId="0">
      <selection activeCell="A30" sqref="A30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328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210262</v>
      </c>
      <c r="C41" s="101">
        <v>205297</v>
      </c>
      <c r="D41" s="101">
        <v>223974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259987802</v>
      </c>
      <c r="C43" s="101">
        <v>251489659</v>
      </c>
      <c r="D43" s="101">
        <v>283310600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146482</v>
      </c>
      <c r="C46" s="90">
        <v>162574</v>
      </c>
      <c r="D46" s="90">
        <v>181179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45566687</v>
      </c>
      <c r="C48" s="90">
        <v>47330033</v>
      </c>
      <c r="D48" s="90">
        <v>54896851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2168</v>
      </c>
      <c r="C72" s="90">
        <v>2292</v>
      </c>
      <c r="D72" s="90">
        <v>2798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831192</v>
      </c>
      <c r="C74" s="90">
        <v>856004</v>
      </c>
      <c r="D74" s="90">
        <v>1110266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16567</v>
      </c>
      <c r="C77" s="80">
        <v>17194</v>
      </c>
      <c r="D77" s="80">
        <v>18098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4212914</v>
      </c>
      <c r="C79" s="80">
        <v>4499069</v>
      </c>
      <c r="D79" s="80">
        <v>4944476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163</v>
      </c>
      <c r="C101" s="90">
        <v>185</v>
      </c>
      <c r="D101" s="90">
        <v>213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261756</v>
      </c>
      <c r="C103" s="80">
        <v>257690</v>
      </c>
      <c r="D103" s="80">
        <v>282214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152471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152520</v>
      </c>
    </row>
    <row r="113" spans="1:2" x14ac:dyDescent="0.35">
      <c r="A113" s="82" t="s">
        <v>330</v>
      </c>
      <c r="B113" s="80">
        <v>29934</v>
      </c>
    </row>
    <row r="114" spans="1:2" x14ac:dyDescent="0.35">
      <c r="A114" s="82" t="s">
        <v>331</v>
      </c>
      <c r="B114" s="80">
        <v>29934</v>
      </c>
    </row>
    <row r="115" spans="1:2" x14ac:dyDescent="0.35">
      <c r="A115" s="82" t="s">
        <v>332</v>
      </c>
      <c r="B115" s="80">
        <v>44587</v>
      </c>
    </row>
    <row r="116" spans="1:2" ht="29" x14ac:dyDescent="0.35">
      <c r="A116" s="95" t="s">
        <v>333</v>
      </c>
      <c r="B116" s="80">
        <v>44587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53728</v>
      </c>
    </row>
    <row r="124" spans="1:2" x14ac:dyDescent="0.35">
      <c r="A124" s="82" t="s">
        <v>340</v>
      </c>
      <c r="B124" s="80">
        <v>903</v>
      </c>
    </row>
    <row r="125" spans="1:2" x14ac:dyDescent="0.35">
      <c r="A125" s="82" t="s">
        <v>341</v>
      </c>
      <c r="B125" s="80">
        <v>41657</v>
      </c>
    </row>
    <row r="126" spans="1:2" ht="29" x14ac:dyDescent="0.35">
      <c r="A126" s="95" t="s">
        <v>342</v>
      </c>
      <c r="B126" s="80">
        <v>5457</v>
      </c>
    </row>
    <row r="127" spans="1:2" x14ac:dyDescent="0.35">
      <c r="A127" s="82" t="s">
        <v>343</v>
      </c>
      <c r="B127" s="80">
        <v>5278</v>
      </c>
    </row>
    <row r="128" spans="1:2" ht="29" x14ac:dyDescent="0.35">
      <c r="A128" s="95" t="s">
        <v>344</v>
      </c>
      <c r="B128" s="80">
        <v>18327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71"/>
  <dimension ref="A6:E135"/>
  <sheetViews>
    <sheetView topLeftCell="A47" workbookViewId="0">
      <selection activeCell="B42" sqref="B42:B47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328</v>
      </c>
      <c r="B6" s="92" t="s">
        <v>348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210262</v>
      </c>
    </row>
    <row r="25" spans="1:5" x14ac:dyDescent="0.35">
      <c r="A25" s="82" t="s">
        <v>112</v>
      </c>
      <c r="B25" s="92">
        <v>259987802</v>
      </c>
    </row>
    <row r="26" spans="1:5" x14ac:dyDescent="0.35">
      <c r="A26" s="82" t="s">
        <v>113</v>
      </c>
      <c r="B26" s="92">
        <v>205297</v>
      </c>
    </row>
    <row r="27" spans="1:5" x14ac:dyDescent="0.35">
      <c r="A27" s="82" t="s">
        <v>114</v>
      </c>
      <c r="B27" s="92">
        <v>251489659</v>
      </c>
    </row>
    <row r="28" spans="1:5" x14ac:dyDescent="0.35">
      <c r="A28" s="82" t="s">
        <v>115</v>
      </c>
      <c r="B28" s="92">
        <v>223974</v>
      </c>
    </row>
    <row r="29" spans="1:5" x14ac:dyDescent="0.35">
      <c r="A29" s="82" t="s">
        <v>116</v>
      </c>
      <c r="B29" s="92">
        <v>283310600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146482</v>
      </c>
    </row>
    <row r="43" spans="1:2" x14ac:dyDescent="0.35">
      <c r="A43" s="82" t="s">
        <v>130</v>
      </c>
      <c r="B43" s="93">
        <v>45566687</v>
      </c>
    </row>
    <row r="44" spans="1:2" x14ac:dyDescent="0.35">
      <c r="A44" s="82" t="s">
        <v>131</v>
      </c>
      <c r="B44" s="93">
        <v>162574</v>
      </c>
    </row>
    <row r="45" spans="1:2" x14ac:dyDescent="0.35">
      <c r="A45" s="82" t="s">
        <v>132</v>
      </c>
      <c r="B45" s="93">
        <v>47330033</v>
      </c>
    </row>
    <row r="46" spans="1:2" x14ac:dyDescent="0.35">
      <c r="A46" s="82" t="s">
        <v>133</v>
      </c>
      <c r="B46" s="93">
        <v>181179</v>
      </c>
    </row>
    <row r="47" spans="1:2" x14ac:dyDescent="0.35">
      <c r="A47" s="82" t="s">
        <v>134</v>
      </c>
      <c r="B47" s="93">
        <v>54896851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2168</v>
      </c>
    </row>
    <row r="55" spans="1:3" x14ac:dyDescent="0.35">
      <c r="A55" s="82" t="s">
        <v>142</v>
      </c>
      <c r="B55" s="93">
        <v>831192</v>
      </c>
    </row>
    <row r="56" spans="1:3" x14ac:dyDescent="0.35">
      <c r="A56" s="82" t="s">
        <v>143</v>
      </c>
      <c r="B56" s="93">
        <v>2292</v>
      </c>
    </row>
    <row r="57" spans="1:3" x14ac:dyDescent="0.35">
      <c r="A57" s="82" t="s">
        <v>144</v>
      </c>
      <c r="B57" s="93">
        <v>856004</v>
      </c>
    </row>
    <row r="58" spans="1:3" x14ac:dyDescent="0.35">
      <c r="A58" s="82" t="s">
        <v>145</v>
      </c>
      <c r="B58" s="93">
        <v>2798</v>
      </c>
    </row>
    <row r="59" spans="1:3" x14ac:dyDescent="0.35">
      <c r="A59" s="82" t="s">
        <v>146</v>
      </c>
      <c r="B59" s="93">
        <v>1110266</v>
      </c>
    </row>
    <row r="60" spans="1:3" x14ac:dyDescent="0.35">
      <c r="A60" s="82" t="s">
        <v>147</v>
      </c>
      <c r="B60" s="93">
        <v>16567</v>
      </c>
    </row>
    <row r="61" spans="1:3" x14ac:dyDescent="0.35">
      <c r="A61" s="82" t="s">
        <v>148</v>
      </c>
      <c r="B61" s="93">
        <v>4212914</v>
      </c>
    </row>
    <row r="62" spans="1:3" x14ac:dyDescent="0.35">
      <c r="A62" s="82" t="s">
        <v>149</v>
      </c>
      <c r="B62" s="93">
        <v>17194</v>
      </c>
    </row>
    <row r="63" spans="1:3" x14ac:dyDescent="0.35">
      <c r="A63" s="82" t="s">
        <v>150</v>
      </c>
      <c r="B63" s="93">
        <v>4499069</v>
      </c>
    </row>
    <row r="64" spans="1:3" x14ac:dyDescent="0.35">
      <c r="A64" s="82" t="s">
        <v>151</v>
      </c>
      <c r="B64" s="93">
        <v>18098</v>
      </c>
    </row>
    <row r="65" spans="1:2" x14ac:dyDescent="0.35">
      <c r="A65" s="82" t="s">
        <v>152</v>
      </c>
      <c r="B65" s="93">
        <v>4944476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163</v>
      </c>
    </row>
    <row r="73" spans="1:2" x14ac:dyDescent="0.35">
      <c r="A73" s="82" t="s">
        <v>160</v>
      </c>
      <c r="B73" s="92">
        <v>261756</v>
      </c>
    </row>
    <row r="74" spans="1:2" x14ac:dyDescent="0.35">
      <c r="A74" s="82" t="s">
        <v>161</v>
      </c>
      <c r="B74" s="92">
        <v>185</v>
      </c>
    </row>
    <row r="75" spans="1:2" x14ac:dyDescent="0.35">
      <c r="A75" s="82" t="s">
        <v>162</v>
      </c>
      <c r="B75" s="92">
        <v>257690</v>
      </c>
    </row>
    <row r="76" spans="1:2" x14ac:dyDescent="0.35">
      <c r="A76" s="82" t="s">
        <v>163</v>
      </c>
      <c r="B76" s="92">
        <v>213</v>
      </c>
    </row>
    <row r="77" spans="1:2" x14ac:dyDescent="0.35">
      <c r="A77" s="82" t="s">
        <v>164</v>
      </c>
      <c r="B77" s="92">
        <v>282214</v>
      </c>
    </row>
    <row r="78" spans="1:2" x14ac:dyDescent="0.35">
      <c r="A78" s="103" t="s">
        <v>177</v>
      </c>
      <c r="B78" s="84">
        <v>152471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152520</v>
      </c>
    </row>
    <row r="81" spans="1:2" x14ac:dyDescent="0.35">
      <c r="A81" s="82" t="s">
        <v>349</v>
      </c>
      <c r="B81" s="90">
        <v>29934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351</v>
      </c>
      <c r="B83" s="90" t="s">
        <v>805</v>
      </c>
    </row>
    <row r="84" spans="1:2" x14ac:dyDescent="0.35">
      <c r="A84" s="82" t="s">
        <v>352</v>
      </c>
      <c r="B84" s="90" t="s">
        <v>805</v>
      </c>
    </row>
    <row r="85" spans="1:2" x14ac:dyDescent="0.35">
      <c r="A85" s="82" t="s">
        <v>353</v>
      </c>
      <c r="B85" s="90" t="s">
        <v>805</v>
      </c>
    </row>
    <row r="86" spans="1:2" x14ac:dyDescent="0.35">
      <c r="A86" s="82" t="s">
        <v>354</v>
      </c>
      <c r="B86" s="90" t="s">
        <v>805</v>
      </c>
    </row>
    <row r="87" spans="1:2" x14ac:dyDescent="0.35">
      <c r="A87" s="82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82" t="s">
        <v>359</v>
      </c>
      <c r="B94" s="84">
        <v>29934</v>
      </c>
    </row>
    <row r="95" spans="1:2" x14ac:dyDescent="0.35">
      <c r="A95" s="82" t="s">
        <v>360</v>
      </c>
      <c r="B95" s="84">
        <v>44587</v>
      </c>
    </row>
    <row r="96" spans="1:2" x14ac:dyDescent="0.35">
      <c r="A96" s="82" t="s">
        <v>361</v>
      </c>
      <c r="B96" s="84">
        <v>53728</v>
      </c>
    </row>
    <row r="97" spans="1:2" x14ac:dyDescent="0.35">
      <c r="A97" s="82" t="s">
        <v>362</v>
      </c>
      <c r="B97" s="84">
        <v>903</v>
      </c>
    </row>
    <row r="98" spans="1:2" x14ac:dyDescent="0.35">
      <c r="A98" s="82" t="s">
        <v>363</v>
      </c>
      <c r="B98" s="84">
        <v>41657</v>
      </c>
    </row>
    <row r="99" spans="1:2" x14ac:dyDescent="0.35">
      <c r="A99" s="82" t="s">
        <v>364</v>
      </c>
      <c r="B99" s="84">
        <v>5457</v>
      </c>
    </row>
    <row r="100" spans="1:2" x14ac:dyDescent="0.35">
      <c r="A100" s="82" t="s">
        <v>365</v>
      </c>
      <c r="B100" s="84">
        <v>5278</v>
      </c>
    </row>
    <row r="101" spans="1:2" x14ac:dyDescent="0.35">
      <c r="A101" s="82" t="s">
        <v>366</v>
      </c>
      <c r="B101" s="84">
        <v>18327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26"/>
  <dimension ref="A6:E55"/>
  <sheetViews>
    <sheetView workbookViewId="0">
      <selection activeCell="B30" sqref="B30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152519</v>
      </c>
    </row>
    <row r="31" spans="1:5" x14ac:dyDescent="0.35">
      <c r="A31" s="82"/>
      <c r="B31" s="84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81"/>
  <dimension ref="A6:E163"/>
  <sheetViews>
    <sheetView topLeftCell="A55" workbookViewId="0">
      <selection activeCell="C38" sqref="C38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372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5482255</v>
      </c>
      <c r="C41" s="101">
        <v>5277260</v>
      </c>
      <c r="D41" s="101">
        <v>6469162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1370839589</v>
      </c>
      <c r="C43" s="101">
        <v>1235522901</v>
      </c>
      <c r="D43" s="101">
        <v>963592392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5599556</v>
      </c>
      <c r="C46" s="90">
        <v>6237580</v>
      </c>
      <c r="D46" s="90">
        <v>7739133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614299875</v>
      </c>
      <c r="C48" s="90">
        <v>658926816</v>
      </c>
      <c r="D48" s="90">
        <v>890445704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191860</v>
      </c>
      <c r="C72" s="90">
        <v>212842</v>
      </c>
      <c r="D72" s="90">
        <v>257377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38549059</v>
      </c>
      <c r="C74" s="90">
        <v>41734775</v>
      </c>
      <c r="D74" s="90">
        <v>54849189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752030</v>
      </c>
      <c r="C77" s="80">
        <v>838299</v>
      </c>
      <c r="D77" s="80">
        <v>912085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39608714</v>
      </c>
      <c r="C79" s="80">
        <v>46048380</v>
      </c>
      <c r="D79" s="80">
        <v>50900874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6050</v>
      </c>
      <c r="C101" s="90">
        <v>6320</v>
      </c>
      <c r="D101" s="90">
        <v>7403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7578068</v>
      </c>
      <c r="C103" s="80">
        <v>7703349</v>
      </c>
      <c r="D103" s="80">
        <v>9028916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5876463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5884261</v>
      </c>
    </row>
    <row r="113" spans="1:2" x14ac:dyDescent="0.35">
      <c r="A113" s="82" t="s">
        <v>330</v>
      </c>
      <c r="B113" s="80">
        <v>1268467</v>
      </c>
    </row>
    <row r="114" spans="1:2" x14ac:dyDescent="0.35">
      <c r="A114" s="82" t="s">
        <v>331</v>
      </c>
      <c r="B114" s="80">
        <v>1268467</v>
      </c>
    </row>
    <row r="115" spans="1:2" x14ac:dyDescent="0.35">
      <c r="A115" s="82" t="s">
        <v>332</v>
      </c>
      <c r="B115" s="80">
        <v>1552695</v>
      </c>
    </row>
    <row r="116" spans="1:2" ht="29" x14ac:dyDescent="0.35">
      <c r="A116" s="95" t="s">
        <v>333</v>
      </c>
      <c r="B116" s="80">
        <v>1552695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4238528</v>
      </c>
    </row>
    <row r="124" spans="1:2" x14ac:dyDescent="0.35">
      <c r="A124" s="82" t="s">
        <v>340</v>
      </c>
      <c r="B124" s="80">
        <v>56644</v>
      </c>
    </row>
    <row r="125" spans="1:2" x14ac:dyDescent="0.35">
      <c r="A125" s="82" t="s">
        <v>341</v>
      </c>
      <c r="B125" s="80">
        <v>1803465</v>
      </c>
    </row>
    <row r="126" spans="1:2" ht="29" x14ac:dyDescent="0.35">
      <c r="A126" s="95" t="s">
        <v>342</v>
      </c>
      <c r="B126" s="80">
        <v>178993</v>
      </c>
    </row>
    <row r="127" spans="1:2" x14ac:dyDescent="0.35">
      <c r="A127" s="82" t="s">
        <v>343</v>
      </c>
      <c r="B127" s="80">
        <v>25190</v>
      </c>
    </row>
    <row r="128" spans="1:2" ht="29" x14ac:dyDescent="0.35">
      <c r="A128" s="95" t="s">
        <v>344</v>
      </c>
      <c r="B128" s="80">
        <v>220657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82"/>
  <dimension ref="A6:E135"/>
  <sheetViews>
    <sheetView topLeftCell="A61" zoomScale="90" zoomScaleNormal="90" workbookViewId="0">
      <selection activeCell="B80" sqref="B80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135" t="s">
        <v>347</v>
      </c>
      <c r="B6" s="92" t="s">
        <v>348</v>
      </c>
    </row>
    <row r="7" spans="1:5" x14ac:dyDescent="0.35">
      <c r="A7" s="136" t="s">
        <v>215</v>
      </c>
      <c r="B7" s="92">
        <v>20204</v>
      </c>
      <c r="C7" s="84"/>
      <c r="D7" s="84"/>
      <c r="E7" s="84"/>
    </row>
    <row r="8" spans="1:5" x14ac:dyDescent="0.35">
      <c r="A8" s="136" t="s">
        <v>216</v>
      </c>
      <c r="B8" s="92">
        <v>10021210</v>
      </c>
    </row>
    <row r="9" spans="1:5" x14ac:dyDescent="0.35">
      <c r="A9" s="136" t="s">
        <v>217</v>
      </c>
      <c r="B9" s="92">
        <v>604</v>
      </c>
      <c r="C9" s="84"/>
      <c r="D9" s="84"/>
      <c r="E9" s="84"/>
    </row>
    <row r="10" spans="1:5" x14ac:dyDescent="0.35">
      <c r="A10" s="136" t="s">
        <v>218</v>
      </c>
      <c r="B10" s="92">
        <v>1000</v>
      </c>
      <c r="C10" s="84"/>
      <c r="D10" s="84"/>
      <c r="E10" s="84"/>
    </row>
    <row r="11" spans="1:5" x14ac:dyDescent="0.35">
      <c r="A11" s="136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136" t="s">
        <v>105</v>
      </c>
      <c r="B18" s="92">
        <v>0</v>
      </c>
      <c r="C18" s="84"/>
      <c r="D18" s="84"/>
      <c r="E18" s="84"/>
    </row>
    <row r="19" spans="1:5" x14ac:dyDescent="0.35">
      <c r="A19" s="136" t="s">
        <v>106</v>
      </c>
      <c r="B19" s="92">
        <v>0</v>
      </c>
      <c r="C19" s="84"/>
      <c r="D19" s="84"/>
      <c r="E19" s="84"/>
    </row>
    <row r="20" spans="1:5" x14ac:dyDescent="0.35">
      <c r="A20" s="136" t="s">
        <v>107</v>
      </c>
      <c r="B20" s="92">
        <v>0</v>
      </c>
      <c r="C20" s="84"/>
      <c r="D20" s="84"/>
      <c r="E20" s="84"/>
    </row>
    <row r="21" spans="1:5" x14ac:dyDescent="0.35">
      <c r="A21" s="136" t="s">
        <v>108</v>
      </c>
      <c r="B21" s="92">
        <v>0</v>
      </c>
      <c r="C21" s="84"/>
      <c r="D21" s="84"/>
      <c r="E21" s="84"/>
    </row>
    <row r="22" spans="1:5" x14ac:dyDescent="0.35">
      <c r="A22" s="136" t="s">
        <v>109</v>
      </c>
      <c r="B22" s="92">
        <v>0</v>
      </c>
      <c r="C22" s="84"/>
      <c r="D22" s="84"/>
      <c r="E22" s="84"/>
    </row>
    <row r="23" spans="1:5" x14ac:dyDescent="0.35">
      <c r="A23" s="136" t="s">
        <v>110</v>
      </c>
      <c r="B23" s="92">
        <v>0</v>
      </c>
      <c r="C23" s="84"/>
      <c r="D23" s="84"/>
      <c r="E23" s="84"/>
    </row>
    <row r="24" spans="1:5" x14ac:dyDescent="0.35">
      <c r="A24" s="136" t="s">
        <v>111</v>
      </c>
      <c r="B24" s="92">
        <v>5482255</v>
      </c>
    </row>
    <row r="25" spans="1:5" x14ac:dyDescent="0.35">
      <c r="A25" s="136" t="s">
        <v>112</v>
      </c>
      <c r="B25" s="92">
        <v>1370839589</v>
      </c>
    </row>
    <row r="26" spans="1:5" x14ac:dyDescent="0.35">
      <c r="A26" s="136" t="s">
        <v>113</v>
      </c>
      <c r="B26" s="92">
        <v>5277260</v>
      </c>
    </row>
    <row r="27" spans="1:5" x14ac:dyDescent="0.35">
      <c r="A27" s="136" t="s">
        <v>114</v>
      </c>
      <c r="B27" s="92">
        <v>1235522901</v>
      </c>
    </row>
    <row r="28" spans="1:5" x14ac:dyDescent="0.35">
      <c r="A28" s="136" t="s">
        <v>115</v>
      </c>
      <c r="B28" s="92">
        <v>6469162</v>
      </c>
    </row>
    <row r="29" spans="1:5" x14ac:dyDescent="0.35">
      <c r="A29" s="136" t="s">
        <v>116</v>
      </c>
      <c r="B29" s="92">
        <v>963592392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136" t="s">
        <v>129</v>
      </c>
      <c r="B42" s="93">
        <v>5599556</v>
      </c>
    </row>
    <row r="43" spans="1:2" x14ac:dyDescent="0.35">
      <c r="A43" s="136" t="s">
        <v>130</v>
      </c>
      <c r="B43" s="93">
        <v>614299875</v>
      </c>
    </row>
    <row r="44" spans="1:2" x14ac:dyDescent="0.35">
      <c r="A44" s="136" t="s">
        <v>131</v>
      </c>
      <c r="B44" s="93">
        <v>6237580</v>
      </c>
    </row>
    <row r="45" spans="1:2" x14ac:dyDescent="0.35">
      <c r="A45" s="136" t="s">
        <v>132</v>
      </c>
      <c r="B45" s="93">
        <v>658926816</v>
      </c>
    </row>
    <row r="46" spans="1:2" x14ac:dyDescent="0.35">
      <c r="A46" s="136" t="s">
        <v>133</v>
      </c>
      <c r="B46" s="93">
        <v>7739133</v>
      </c>
    </row>
    <row r="47" spans="1:2" x14ac:dyDescent="0.35">
      <c r="A47" s="136" t="s">
        <v>134</v>
      </c>
      <c r="B47" s="93">
        <v>890445704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136" t="s">
        <v>141</v>
      </c>
      <c r="B54" s="93">
        <v>191860</v>
      </c>
    </row>
    <row r="55" spans="1:3" x14ac:dyDescent="0.35">
      <c r="A55" s="136" t="s">
        <v>142</v>
      </c>
      <c r="B55" s="93">
        <v>38549059</v>
      </c>
    </row>
    <row r="56" spans="1:3" x14ac:dyDescent="0.35">
      <c r="A56" s="136" t="s">
        <v>143</v>
      </c>
      <c r="B56" s="93">
        <v>212842</v>
      </c>
    </row>
    <row r="57" spans="1:3" x14ac:dyDescent="0.35">
      <c r="A57" s="136" t="s">
        <v>144</v>
      </c>
      <c r="B57" s="93">
        <v>41734775</v>
      </c>
    </row>
    <row r="58" spans="1:3" x14ac:dyDescent="0.35">
      <c r="A58" s="136" t="s">
        <v>145</v>
      </c>
      <c r="B58" s="93">
        <v>257377</v>
      </c>
    </row>
    <row r="59" spans="1:3" x14ac:dyDescent="0.35">
      <c r="A59" s="136" t="s">
        <v>146</v>
      </c>
      <c r="B59" s="93">
        <v>54849189</v>
      </c>
    </row>
    <row r="60" spans="1:3" x14ac:dyDescent="0.35">
      <c r="A60" s="136" t="s">
        <v>147</v>
      </c>
      <c r="B60" s="93">
        <v>752030</v>
      </c>
    </row>
    <row r="61" spans="1:3" x14ac:dyDescent="0.35">
      <c r="A61" s="136" t="s">
        <v>148</v>
      </c>
      <c r="B61" s="93">
        <v>39608714</v>
      </c>
    </row>
    <row r="62" spans="1:3" x14ac:dyDescent="0.35">
      <c r="A62" s="136" t="s">
        <v>149</v>
      </c>
      <c r="B62" s="93">
        <v>838299</v>
      </c>
    </row>
    <row r="63" spans="1:3" x14ac:dyDescent="0.35">
      <c r="A63" s="136" t="s">
        <v>150</v>
      </c>
      <c r="B63" s="93">
        <v>46048380</v>
      </c>
    </row>
    <row r="64" spans="1:3" x14ac:dyDescent="0.35">
      <c r="A64" s="136" t="s">
        <v>151</v>
      </c>
      <c r="B64" s="93">
        <v>912085</v>
      </c>
    </row>
    <row r="65" spans="1:2" x14ac:dyDescent="0.35">
      <c r="A65" s="136" t="s">
        <v>152</v>
      </c>
      <c r="B65" s="93">
        <v>50900874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136" t="s">
        <v>159</v>
      </c>
      <c r="B72" s="92">
        <v>6050</v>
      </c>
    </row>
    <row r="73" spans="1:2" x14ac:dyDescent="0.35">
      <c r="A73" s="136" t="s">
        <v>160</v>
      </c>
      <c r="B73" s="92">
        <v>7578068</v>
      </c>
    </row>
    <row r="74" spans="1:2" x14ac:dyDescent="0.35">
      <c r="A74" s="136" t="s">
        <v>161</v>
      </c>
      <c r="B74" s="92">
        <v>6320</v>
      </c>
    </row>
    <row r="75" spans="1:2" x14ac:dyDescent="0.35">
      <c r="A75" s="136" t="s">
        <v>162</v>
      </c>
      <c r="B75" s="92">
        <v>7703349</v>
      </c>
    </row>
    <row r="76" spans="1:2" x14ac:dyDescent="0.35">
      <c r="A76" s="136" t="s">
        <v>163</v>
      </c>
      <c r="B76" s="92">
        <v>7403</v>
      </c>
    </row>
    <row r="77" spans="1:2" x14ac:dyDescent="0.35">
      <c r="A77" s="136" t="s">
        <v>164</v>
      </c>
      <c r="B77" s="92">
        <v>9028916</v>
      </c>
    </row>
    <row r="78" spans="1:2" x14ac:dyDescent="0.35">
      <c r="A78" s="136" t="s">
        <v>177</v>
      </c>
      <c r="B78" s="84">
        <v>5876463</v>
      </c>
    </row>
    <row r="79" spans="1:2" x14ac:dyDescent="0.35">
      <c r="A79" s="82" t="s">
        <v>178</v>
      </c>
      <c r="B79" s="90">
        <v>0</v>
      </c>
    </row>
    <row r="80" spans="1:2" x14ac:dyDescent="0.35">
      <c r="A80" s="136" t="s">
        <v>179</v>
      </c>
      <c r="B80" s="90">
        <v>5884261</v>
      </c>
    </row>
    <row r="81" spans="1:2" x14ac:dyDescent="0.35">
      <c r="A81" s="136" t="s">
        <v>349</v>
      </c>
      <c r="B81" s="90">
        <v>1268467</v>
      </c>
    </row>
    <row r="82" spans="1:2" x14ac:dyDescent="0.35">
      <c r="A82" s="82" t="s">
        <v>350</v>
      </c>
      <c r="B82" s="90">
        <v>0</v>
      </c>
    </row>
    <row r="83" spans="1:2" x14ac:dyDescent="0.35">
      <c r="A83" s="136" t="s">
        <v>351</v>
      </c>
      <c r="B83" s="90" t="s">
        <v>805</v>
      </c>
    </row>
    <row r="84" spans="1:2" x14ac:dyDescent="0.35">
      <c r="A84" s="136" t="s">
        <v>352</v>
      </c>
      <c r="B84" s="90" t="s">
        <v>805</v>
      </c>
    </row>
    <row r="85" spans="1:2" x14ac:dyDescent="0.35">
      <c r="A85" s="136" t="s">
        <v>353</v>
      </c>
      <c r="B85" s="90" t="s">
        <v>805</v>
      </c>
    </row>
    <row r="86" spans="1:2" x14ac:dyDescent="0.35">
      <c r="A86" s="136" t="s">
        <v>354</v>
      </c>
      <c r="B86" s="90" t="s">
        <v>805</v>
      </c>
    </row>
    <row r="87" spans="1:2" x14ac:dyDescent="0.35">
      <c r="A87" s="136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136" t="s">
        <v>359</v>
      </c>
      <c r="B94" s="84">
        <v>1268467</v>
      </c>
    </row>
    <row r="95" spans="1:2" x14ac:dyDescent="0.35">
      <c r="A95" s="136" t="s">
        <v>360</v>
      </c>
      <c r="B95" s="84">
        <v>1552695</v>
      </c>
    </row>
    <row r="96" spans="1:2" x14ac:dyDescent="0.35">
      <c r="A96" s="136" t="s">
        <v>361</v>
      </c>
      <c r="B96" s="84">
        <v>4238528</v>
      </c>
    </row>
    <row r="97" spans="1:2" x14ac:dyDescent="0.35">
      <c r="A97" s="136" t="s">
        <v>362</v>
      </c>
      <c r="B97" s="84">
        <v>56644</v>
      </c>
    </row>
    <row r="98" spans="1:2" x14ac:dyDescent="0.35">
      <c r="A98" s="136" t="s">
        <v>363</v>
      </c>
      <c r="B98" s="84">
        <v>1803465</v>
      </c>
    </row>
    <row r="99" spans="1:2" x14ac:dyDescent="0.35">
      <c r="A99" s="136" t="s">
        <v>364</v>
      </c>
      <c r="B99" s="84">
        <v>178993</v>
      </c>
    </row>
    <row r="100" spans="1:2" x14ac:dyDescent="0.35">
      <c r="A100" s="136" t="s">
        <v>365</v>
      </c>
      <c r="B100" s="84">
        <v>25190</v>
      </c>
    </row>
    <row r="101" spans="1:2" x14ac:dyDescent="0.35">
      <c r="A101" s="136" t="s">
        <v>366</v>
      </c>
      <c r="B101" s="84">
        <v>220657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29"/>
  <dimension ref="A6:E57"/>
  <sheetViews>
    <sheetView topLeftCell="A19" workbookViewId="0">
      <selection activeCell="E9" sqref="E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20204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1000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5876773</v>
      </c>
    </row>
    <row r="31" spans="1:5" x14ac:dyDescent="0.35">
      <c r="B31" s="84"/>
    </row>
    <row r="32" spans="1:5" x14ac:dyDescent="0.35">
      <c r="B32" s="84"/>
    </row>
    <row r="33" spans="1:2" x14ac:dyDescent="0.35">
      <c r="A33" s="82"/>
      <c r="B33" s="84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12"/>
  <dimension ref="A6:E159"/>
  <sheetViews>
    <sheetView workbookViewId="0">
      <selection activeCell="F32" sqref="F32"/>
    </sheetView>
  </sheetViews>
  <sheetFormatPr baseColWidth="10" defaultRowHeight="14.5" x14ac:dyDescent="0.35"/>
  <cols>
    <col min="1" max="1" width="61.7265625" customWidth="1"/>
    <col min="2" max="5" width="21.54296875" style="80" customWidth="1"/>
  </cols>
  <sheetData>
    <row r="6" spans="1:5" ht="18.5" x14ac:dyDescent="0.35">
      <c r="A6" s="86" t="s">
        <v>373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28545</v>
      </c>
      <c r="C46" s="90">
        <v>53746</v>
      </c>
      <c r="D46" s="90">
        <v>33534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1982163</v>
      </c>
      <c r="C48" s="90">
        <v>4292899</v>
      </c>
      <c r="D48" s="90">
        <v>2526806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5833</v>
      </c>
      <c r="C77" s="80">
        <v>5637</v>
      </c>
      <c r="D77" s="80">
        <v>6096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229237</v>
      </c>
      <c r="C79" s="80">
        <v>261856</v>
      </c>
      <c r="D79" s="80">
        <v>244059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5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9" x14ac:dyDescent="0.35">
      <c r="A106" s="104" t="s">
        <v>374</v>
      </c>
      <c r="B106" s="80">
        <v>101414</v>
      </c>
      <c r="C106" s="80">
        <v>0</v>
      </c>
      <c r="D106" s="80">
        <v>0</v>
      </c>
      <c r="E106">
        <v>0</v>
      </c>
    </row>
    <row r="107" spans="1:5" ht="29" x14ac:dyDescent="0.35">
      <c r="A107" s="95" t="s">
        <v>375</v>
      </c>
      <c r="B107" s="80">
        <v>0</v>
      </c>
      <c r="C107" s="80">
        <v>0</v>
      </c>
      <c r="D107" s="80">
        <v>0</v>
      </c>
      <c r="E107">
        <v>0</v>
      </c>
    </row>
    <row r="108" spans="1:5" x14ac:dyDescent="0.35">
      <c r="A108" s="82" t="s">
        <v>795</v>
      </c>
      <c r="B108" s="80">
        <v>111447</v>
      </c>
      <c r="C108" s="80">
        <v>0</v>
      </c>
      <c r="D108" s="80">
        <v>0</v>
      </c>
      <c r="E108">
        <v>0</v>
      </c>
    </row>
    <row r="109" spans="1:5" x14ac:dyDescent="0.35">
      <c r="A109" s="87" t="s">
        <v>259</v>
      </c>
      <c r="B109" s="80">
        <v>0</v>
      </c>
      <c r="C109" s="80">
        <v>0</v>
      </c>
      <c r="D109" s="80">
        <v>0</v>
      </c>
      <c r="E109">
        <v>0</v>
      </c>
    </row>
    <row r="110" spans="1:5" x14ac:dyDescent="0.35">
      <c r="A110" s="82" t="s">
        <v>796</v>
      </c>
      <c r="B110" s="80">
        <v>0</v>
      </c>
      <c r="C110" s="80">
        <v>0</v>
      </c>
      <c r="D110" s="80">
        <v>0</v>
      </c>
      <c r="E110">
        <v>0</v>
      </c>
    </row>
    <row r="111" spans="1:5" x14ac:dyDescent="0.35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5">
      <c r="A112" s="82" t="s">
        <v>798</v>
      </c>
      <c r="B112" s="80">
        <v>0</v>
      </c>
      <c r="C112" s="80">
        <v>0</v>
      </c>
      <c r="D112" s="80">
        <v>0</v>
      </c>
      <c r="E112">
        <v>0</v>
      </c>
    </row>
    <row r="113" spans="1:5" x14ac:dyDescent="0.35">
      <c r="A113" s="82" t="s">
        <v>799</v>
      </c>
      <c r="B113" s="80">
        <v>0</v>
      </c>
      <c r="C113" s="80">
        <v>0</v>
      </c>
      <c r="D113" s="80">
        <v>0</v>
      </c>
      <c r="E113">
        <v>0</v>
      </c>
    </row>
    <row r="114" spans="1:5" x14ac:dyDescent="0.35">
      <c r="A114" s="82" t="s">
        <v>800</v>
      </c>
      <c r="B114" s="80">
        <v>0</v>
      </c>
      <c r="C114" s="80">
        <v>0</v>
      </c>
      <c r="D114" s="80">
        <v>0</v>
      </c>
      <c r="E114">
        <v>0</v>
      </c>
    </row>
    <row r="115" spans="1:5" x14ac:dyDescent="0.35">
      <c r="A115" s="82" t="s">
        <v>801</v>
      </c>
      <c r="B115" s="80">
        <v>616</v>
      </c>
      <c r="C115" s="80">
        <v>0</v>
      </c>
      <c r="D115" s="80">
        <v>0</v>
      </c>
      <c r="E115">
        <v>0</v>
      </c>
    </row>
    <row r="116" spans="1:5" x14ac:dyDescent="0.35">
      <c r="A116" s="82" t="s">
        <v>802</v>
      </c>
      <c r="B116" s="80">
        <v>0</v>
      </c>
      <c r="C116" s="80">
        <v>0</v>
      </c>
      <c r="D116" s="80">
        <v>0</v>
      </c>
      <c r="E116">
        <v>0</v>
      </c>
    </row>
    <row r="117" spans="1:5" x14ac:dyDescent="0.35">
      <c r="A117" s="95" t="s">
        <v>803</v>
      </c>
      <c r="B117" s="80">
        <v>0</v>
      </c>
      <c r="C117" s="80">
        <v>0</v>
      </c>
      <c r="D117" s="80">
        <v>0</v>
      </c>
      <c r="E117">
        <v>0</v>
      </c>
    </row>
    <row r="118" spans="1:5" x14ac:dyDescent="0.35">
      <c r="A118" s="82" t="s">
        <v>335</v>
      </c>
      <c r="B118" s="80" t="s">
        <v>806</v>
      </c>
      <c r="C118" s="80">
        <v>0</v>
      </c>
      <c r="D118" s="80">
        <v>0</v>
      </c>
      <c r="E118">
        <v>0</v>
      </c>
    </row>
    <row r="119" spans="1:5" x14ac:dyDescent="0.35">
      <c r="A119" s="82" t="s">
        <v>376</v>
      </c>
      <c r="B119" s="80">
        <v>0</v>
      </c>
      <c r="C119" s="80">
        <v>0</v>
      </c>
      <c r="D119" s="80">
        <v>0</v>
      </c>
      <c r="E119">
        <v>0</v>
      </c>
    </row>
    <row r="120" spans="1:5" x14ac:dyDescent="0.35">
      <c r="A120" s="82" t="s">
        <v>377</v>
      </c>
      <c r="B120" s="80">
        <v>12133</v>
      </c>
      <c r="C120" s="80">
        <v>0</v>
      </c>
      <c r="D120" s="80">
        <v>0</v>
      </c>
      <c r="E120">
        <v>0</v>
      </c>
    </row>
    <row r="121" spans="1:5" x14ac:dyDescent="0.35">
      <c r="A121" s="82" t="s">
        <v>804</v>
      </c>
      <c r="B121" s="80">
        <v>12133</v>
      </c>
      <c r="C121" s="80">
        <v>0</v>
      </c>
      <c r="D121" s="80">
        <v>0</v>
      </c>
      <c r="E121">
        <v>0</v>
      </c>
    </row>
    <row r="122" spans="1:5" x14ac:dyDescent="0.35">
      <c r="A122" s="82" t="s">
        <v>378</v>
      </c>
      <c r="B122" s="80">
        <v>0</v>
      </c>
      <c r="C122" s="80">
        <v>0</v>
      </c>
      <c r="D122" s="80">
        <v>0</v>
      </c>
      <c r="E122">
        <v>0</v>
      </c>
    </row>
    <row r="123" spans="1:5" x14ac:dyDescent="0.35">
      <c r="A123" s="82" t="s">
        <v>379</v>
      </c>
      <c r="B123" s="80">
        <v>0</v>
      </c>
      <c r="C123" s="80">
        <v>0</v>
      </c>
      <c r="D123" s="80">
        <v>0</v>
      </c>
      <c r="E123">
        <v>0</v>
      </c>
    </row>
    <row r="124" spans="1:5" x14ac:dyDescent="0.35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5">
      <c r="A125" s="82" t="s">
        <v>380</v>
      </c>
      <c r="B125" s="80">
        <v>20</v>
      </c>
      <c r="C125" s="80">
        <v>0</v>
      </c>
      <c r="D125" s="80">
        <v>0</v>
      </c>
      <c r="E125">
        <v>0</v>
      </c>
    </row>
    <row r="126" spans="1:5" x14ac:dyDescent="0.35">
      <c r="A126" s="82" t="s">
        <v>381</v>
      </c>
      <c r="B126" s="80">
        <v>616</v>
      </c>
      <c r="C126" s="80">
        <v>0</v>
      </c>
      <c r="D126" s="80">
        <v>0</v>
      </c>
      <c r="E126">
        <v>0</v>
      </c>
    </row>
    <row r="127" spans="1:5" x14ac:dyDescent="0.35">
      <c r="A127" s="82" t="s">
        <v>382</v>
      </c>
      <c r="B127" s="80">
        <v>76653</v>
      </c>
      <c r="C127" s="80">
        <v>0</v>
      </c>
      <c r="D127" s="80">
        <v>0</v>
      </c>
      <c r="E127">
        <v>0</v>
      </c>
    </row>
    <row r="128" spans="1:5" x14ac:dyDescent="0.35">
      <c r="A128" s="105" t="s">
        <v>383</v>
      </c>
      <c r="B128" s="80">
        <v>0</v>
      </c>
      <c r="C128" s="80">
        <v>0</v>
      </c>
      <c r="D128" s="80">
        <v>0</v>
      </c>
      <c r="E128">
        <v>0</v>
      </c>
    </row>
    <row r="129" spans="1:5" x14ac:dyDescent="0.35">
      <c r="A129" s="82" t="s">
        <v>384</v>
      </c>
      <c r="B129" s="80">
        <v>1901</v>
      </c>
      <c r="C129" s="80">
        <v>0</v>
      </c>
      <c r="D129" s="80">
        <v>0</v>
      </c>
      <c r="E129">
        <v>0</v>
      </c>
    </row>
    <row r="130" spans="1:5" x14ac:dyDescent="0.35">
      <c r="A130" s="95" t="s">
        <v>385</v>
      </c>
      <c r="B130" s="80">
        <v>34</v>
      </c>
      <c r="C130" s="80">
        <v>0</v>
      </c>
      <c r="D130" s="80">
        <v>0</v>
      </c>
      <c r="E130">
        <v>0</v>
      </c>
    </row>
    <row r="131" spans="1:5" x14ac:dyDescent="0.35">
      <c r="A131" s="82"/>
    </row>
    <row r="132" spans="1:5" x14ac:dyDescent="0.35">
      <c r="A132" s="82"/>
    </row>
    <row r="133" spans="1:5" x14ac:dyDescent="0.35">
      <c r="A133" s="82"/>
    </row>
    <row r="134" spans="1:5" x14ac:dyDescent="0.35">
      <c r="A134" s="82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13"/>
  <dimension ref="A6:D135"/>
  <sheetViews>
    <sheetView topLeftCell="A7" workbookViewId="0">
      <selection activeCell="F15" sqref="F15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135" t="s">
        <v>373</v>
      </c>
      <c r="B6" s="92" t="s">
        <v>386</v>
      </c>
    </row>
    <row r="7" spans="1:4" x14ac:dyDescent="0.35">
      <c r="A7" s="136" t="s">
        <v>215</v>
      </c>
      <c r="B7" s="92">
        <v>20204</v>
      </c>
      <c r="C7" s="84"/>
      <c r="D7" s="84"/>
    </row>
    <row r="8" spans="1:4" x14ac:dyDescent="0.35">
      <c r="A8" s="136" t="s">
        <v>216</v>
      </c>
      <c r="B8" s="92">
        <v>10021210</v>
      </c>
    </row>
    <row r="9" spans="1:4" x14ac:dyDescent="0.35">
      <c r="A9" s="136" t="s">
        <v>217</v>
      </c>
      <c r="B9" s="92">
        <v>604</v>
      </c>
      <c r="C9" s="84"/>
      <c r="D9" s="84"/>
    </row>
    <row r="10" spans="1:4" x14ac:dyDescent="0.35">
      <c r="A10" s="136" t="s">
        <v>218</v>
      </c>
      <c r="B10" s="92">
        <v>102</v>
      </c>
      <c r="C10" s="84"/>
      <c r="D10" s="84"/>
    </row>
    <row r="11" spans="1:4" x14ac:dyDescent="0.35">
      <c r="A11" s="136" t="s">
        <v>219</v>
      </c>
      <c r="B11" s="92" t="s">
        <v>387</v>
      </c>
      <c r="C11" s="84"/>
      <c r="D11" s="84"/>
    </row>
    <row r="12" spans="1:4" x14ac:dyDescent="0.35">
      <c r="A12" s="82" t="s">
        <v>99</v>
      </c>
      <c r="B12" s="90">
        <v>0</v>
      </c>
      <c r="C12" s="84"/>
      <c r="D12" s="84"/>
    </row>
    <row r="13" spans="1:4" x14ac:dyDescent="0.35">
      <c r="A13" s="82" t="s">
        <v>100</v>
      </c>
      <c r="B13" s="90">
        <v>0</v>
      </c>
      <c r="C13" s="84"/>
      <c r="D13" s="84"/>
    </row>
    <row r="14" spans="1:4" x14ac:dyDescent="0.35">
      <c r="A14" s="82" t="s">
        <v>101</v>
      </c>
      <c r="B14" s="90">
        <v>0</v>
      </c>
      <c r="C14" s="84"/>
      <c r="D14" s="84"/>
    </row>
    <row r="15" spans="1:4" x14ac:dyDescent="0.35">
      <c r="A15" s="82" t="s">
        <v>102</v>
      </c>
      <c r="B15" s="90">
        <v>0</v>
      </c>
      <c r="C15" s="84"/>
      <c r="D15" s="84"/>
    </row>
    <row r="16" spans="1:4" x14ac:dyDescent="0.35">
      <c r="A16" s="82" t="s">
        <v>103</v>
      </c>
      <c r="B16" s="90">
        <v>0</v>
      </c>
      <c r="C16" s="84"/>
      <c r="D16" s="84"/>
    </row>
    <row r="17" spans="1:4" x14ac:dyDescent="0.35">
      <c r="A17" s="82" t="s">
        <v>104</v>
      </c>
      <c r="B17" s="90">
        <v>0</v>
      </c>
      <c r="C17" s="84"/>
      <c r="D17" s="84"/>
    </row>
    <row r="18" spans="1:4" x14ac:dyDescent="0.35">
      <c r="A18" s="82" t="s">
        <v>105</v>
      </c>
      <c r="B18" s="92">
        <v>0</v>
      </c>
      <c r="C18" s="84"/>
      <c r="D18" s="84"/>
    </row>
    <row r="19" spans="1:4" x14ac:dyDescent="0.35">
      <c r="A19" s="82" t="s">
        <v>106</v>
      </c>
      <c r="B19" s="92">
        <v>0</v>
      </c>
      <c r="C19" s="84"/>
      <c r="D19" s="84"/>
    </row>
    <row r="20" spans="1:4" x14ac:dyDescent="0.35">
      <c r="A20" s="82" t="s">
        <v>107</v>
      </c>
      <c r="B20" s="92">
        <v>0</v>
      </c>
      <c r="C20" s="84"/>
      <c r="D20" s="84"/>
    </row>
    <row r="21" spans="1:4" x14ac:dyDescent="0.35">
      <c r="A21" s="82" t="s">
        <v>108</v>
      </c>
      <c r="B21" s="92">
        <v>0</v>
      </c>
      <c r="C21" s="84"/>
      <c r="D21" s="84"/>
    </row>
    <row r="22" spans="1:4" x14ac:dyDescent="0.35">
      <c r="A22" s="82" t="s">
        <v>109</v>
      </c>
      <c r="B22" s="92">
        <v>0</v>
      </c>
      <c r="C22" s="84"/>
      <c r="D22" s="84"/>
    </row>
    <row r="23" spans="1:4" x14ac:dyDescent="0.35">
      <c r="A23" s="82" t="s">
        <v>110</v>
      </c>
      <c r="B23" s="92">
        <v>0</v>
      </c>
      <c r="C23" s="84"/>
      <c r="D23" s="84"/>
    </row>
    <row r="24" spans="1:4" x14ac:dyDescent="0.35">
      <c r="A24" s="82" t="s">
        <v>111</v>
      </c>
      <c r="B24" s="92">
        <v>0</v>
      </c>
    </row>
    <row r="25" spans="1:4" x14ac:dyDescent="0.35">
      <c r="A25" s="82" t="s">
        <v>112</v>
      </c>
      <c r="B25" s="92">
        <v>0</v>
      </c>
    </row>
    <row r="26" spans="1:4" x14ac:dyDescent="0.35">
      <c r="A26" s="82" t="s">
        <v>113</v>
      </c>
      <c r="B26" s="92">
        <v>0</v>
      </c>
    </row>
    <row r="27" spans="1:4" x14ac:dyDescent="0.35">
      <c r="A27" s="82" t="s">
        <v>114</v>
      </c>
      <c r="B27" s="92">
        <v>0</v>
      </c>
    </row>
    <row r="28" spans="1:4" x14ac:dyDescent="0.35">
      <c r="A28" s="82" t="s">
        <v>115</v>
      </c>
      <c r="B28" s="92">
        <v>0</v>
      </c>
    </row>
    <row r="29" spans="1:4" x14ac:dyDescent="0.35">
      <c r="A29" s="82" t="s">
        <v>116</v>
      </c>
      <c r="B29" s="92">
        <v>0</v>
      </c>
    </row>
    <row r="30" spans="1:4" x14ac:dyDescent="0.35">
      <c r="A30" s="82" t="s">
        <v>117</v>
      </c>
      <c r="B30" s="90">
        <v>0</v>
      </c>
    </row>
    <row r="31" spans="1:4" x14ac:dyDescent="0.35">
      <c r="A31" s="82" t="s">
        <v>118</v>
      </c>
      <c r="B31" s="90">
        <v>0</v>
      </c>
    </row>
    <row r="32" spans="1:4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136" t="s">
        <v>129</v>
      </c>
      <c r="B42" s="93">
        <v>28545</v>
      </c>
    </row>
    <row r="43" spans="1:2" x14ac:dyDescent="0.35">
      <c r="A43" s="136" t="s">
        <v>130</v>
      </c>
      <c r="B43" s="93">
        <v>1982163</v>
      </c>
    </row>
    <row r="44" spans="1:2" x14ac:dyDescent="0.35">
      <c r="A44" s="136" t="s">
        <v>131</v>
      </c>
      <c r="B44" s="93">
        <v>53746</v>
      </c>
    </row>
    <row r="45" spans="1:2" x14ac:dyDescent="0.35">
      <c r="A45" s="136" t="s">
        <v>132</v>
      </c>
      <c r="B45" s="93">
        <v>4292899</v>
      </c>
    </row>
    <row r="46" spans="1:2" x14ac:dyDescent="0.35">
      <c r="A46" s="136" t="s">
        <v>133</v>
      </c>
      <c r="B46" s="93">
        <v>33534</v>
      </c>
    </row>
    <row r="47" spans="1:2" x14ac:dyDescent="0.35">
      <c r="A47" s="136" t="s">
        <v>134</v>
      </c>
      <c r="B47" s="93">
        <v>2526806</v>
      </c>
    </row>
    <row r="48" spans="1:2" x14ac:dyDescent="0.35">
      <c r="A48" s="82" t="s">
        <v>135</v>
      </c>
      <c r="B48" s="90">
        <v>0</v>
      </c>
    </row>
    <row r="49" spans="1:2" x14ac:dyDescent="0.35">
      <c r="A49" s="82" t="s">
        <v>136</v>
      </c>
      <c r="B49" s="90">
        <v>0</v>
      </c>
    </row>
    <row r="50" spans="1:2" x14ac:dyDescent="0.35">
      <c r="A50" s="82" t="s">
        <v>137</v>
      </c>
      <c r="B50" s="90">
        <v>0</v>
      </c>
    </row>
    <row r="51" spans="1:2" x14ac:dyDescent="0.35">
      <c r="A51" s="82" t="s">
        <v>138</v>
      </c>
      <c r="B51" s="90">
        <v>0</v>
      </c>
    </row>
    <row r="52" spans="1:2" x14ac:dyDescent="0.35">
      <c r="A52" s="82" t="s">
        <v>139</v>
      </c>
      <c r="B52" s="90">
        <v>0</v>
      </c>
    </row>
    <row r="53" spans="1:2" x14ac:dyDescent="0.35">
      <c r="A53" s="82" t="s">
        <v>140</v>
      </c>
      <c r="B53" s="90">
        <v>0</v>
      </c>
    </row>
    <row r="54" spans="1:2" x14ac:dyDescent="0.35">
      <c r="A54" s="82" t="s">
        <v>141</v>
      </c>
      <c r="B54" s="93">
        <v>0</v>
      </c>
    </row>
    <row r="55" spans="1:2" x14ac:dyDescent="0.35">
      <c r="A55" s="82" t="s">
        <v>142</v>
      </c>
      <c r="B55" s="93">
        <v>0</v>
      </c>
    </row>
    <row r="56" spans="1:2" x14ac:dyDescent="0.35">
      <c r="A56" s="82" t="s">
        <v>143</v>
      </c>
      <c r="B56" s="93">
        <v>0</v>
      </c>
    </row>
    <row r="57" spans="1:2" x14ac:dyDescent="0.35">
      <c r="A57" s="82" t="s">
        <v>144</v>
      </c>
      <c r="B57" s="93">
        <v>0</v>
      </c>
    </row>
    <row r="58" spans="1:2" x14ac:dyDescent="0.35">
      <c r="A58" s="82" t="s">
        <v>145</v>
      </c>
      <c r="B58" s="93">
        <v>0</v>
      </c>
    </row>
    <row r="59" spans="1:2" x14ac:dyDescent="0.35">
      <c r="A59" s="82" t="s">
        <v>146</v>
      </c>
      <c r="B59" s="93">
        <v>0</v>
      </c>
    </row>
    <row r="60" spans="1:2" x14ac:dyDescent="0.35">
      <c r="A60" s="136" t="s">
        <v>147</v>
      </c>
      <c r="B60" s="93">
        <v>5833</v>
      </c>
    </row>
    <row r="61" spans="1:2" x14ac:dyDescent="0.35">
      <c r="A61" s="136" t="s">
        <v>148</v>
      </c>
      <c r="B61" s="93">
        <v>229237</v>
      </c>
    </row>
    <row r="62" spans="1:2" x14ac:dyDescent="0.35">
      <c r="A62" s="136" t="s">
        <v>149</v>
      </c>
      <c r="B62" s="93">
        <v>5637</v>
      </c>
    </row>
    <row r="63" spans="1:2" x14ac:dyDescent="0.35">
      <c r="A63" s="136" t="s">
        <v>150</v>
      </c>
      <c r="B63" s="93">
        <v>261856</v>
      </c>
    </row>
    <row r="64" spans="1:2" x14ac:dyDescent="0.35">
      <c r="A64" s="136" t="s">
        <v>151</v>
      </c>
      <c r="B64" s="93">
        <v>6096</v>
      </c>
    </row>
    <row r="65" spans="1:2" x14ac:dyDescent="0.35">
      <c r="A65" s="136" t="s">
        <v>152</v>
      </c>
      <c r="B65" s="93">
        <v>244059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136" t="s">
        <v>388</v>
      </c>
      <c r="B78" s="84">
        <v>101414</v>
      </c>
    </row>
    <row r="79" spans="1:2" x14ac:dyDescent="0.35">
      <c r="A79" s="82" t="s">
        <v>178</v>
      </c>
      <c r="B79" s="90">
        <v>0</v>
      </c>
    </row>
    <row r="80" spans="1:2" x14ac:dyDescent="0.35">
      <c r="A80" s="136" t="s">
        <v>179</v>
      </c>
      <c r="B80" s="90">
        <v>111447</v>
      </c>
    </row>
    <row r="81" spans="1:2" x14ac:dyDescent="0.35">
      <c r="A81" s="136" t="s">
        <v>349</v>
      </c>
      <c r="B81" s="90">
        <v>12133</v>
      </c>
    </row>
    <row r="82" spans="1:2" x14ac:dyDescent="0.35">
      <c r="A82" s="82" t="s">
        <v>350</v>
      </c>
      <c r="B82" s="90">
        <v>0</v>
      </c>
    </row>
    <row r="83" spans="1:2" x14ac:dyDescent="0.35">
      <c r="A83" s="136" t="s">
        <v>355</v>
      </c>
      <c r="B83" s="90" t="s">
        <v>806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356</v>
      </c>
      <c r="B87" s="84">
        <v>0</v>
      </c>
    </row>
    <row r="88" spans="1:2" x14ac:dyDescent="0.35">
      <c r="A88" s="82" t="s">
        <v>357</v>
      </c>
      <c r="B88" s="84">
        <v>0</v>
      </c>
    </row>
    <row r="89" spans="1:2" x14ac:dyDescent="0.35">
      <c r="A89" s="82" t="s">
        <v>358</v>
      </c>
      <c r="B89" s="84">
        <v>0</v>
      </c>
    </row>
    <row r="90" spans="1:2" x14ac:dyDescent="0.35">
      <c r="A90" s="136" t="s">
        <v>359</v>
      </c>
      <c r="B90" s="84">
        <v>616</v>
      </c>
    </row>
    <row r="91" spans="1:2" x14ac:dyDescent="0.35">
      <c r="A91" s="82" t="s">
        <v>360</v>
      </c>
      <c r="B91" s="84">
        <v>0</v>
      </c>
    </row>
    <row r="92" spans="1:2" x14ac:dyDescent="0.35">
      <c r="A92" s="136" t="s">
        <v>361</v>
      </c>
      <c r="B92" s="84">
        <v>20</v>
      </c>
    </row>
    <row r="93" spans="1:2" x14ac:dyDescent="0.35">
      <c r="A93" s="136" t="s">
        <v>362</v>
      </c>
      <c r="B93" s="84">
        <v>616</v>
      </c>
    </row>
    <row r="94" spans="1:2" x14ac:dyDescent="0.35">
      <c r="A94" s="136" t="s">
        <v>363</v>
      </c>
      <c r="B94" s="84">
        <v>76653</v>
      </c>
    </row>
    <row r="95" spans="1:2" x14ac:dyDescent="0.35">
      <c r="A95" s="82" t="s">
        <v>364</v>
      </c>
      <c r="B95" s="84">
        <v>0</v>
      </c>
    </row>
    <row r="96" spans="1:2" x14ac:dyDescent="0.35">
      <c r="A96" s="136" t="s">
        <v>365</v>
      </c>
      <c r="B96" s="84">
        <v>1901</v>
      </c>
    </row>
    <row r="97" spans="1:2" x14ac:dyDescent="0.35">
      <c r="A97" s="136" t="s">
        <v>366</v>
      </c>
      <c r="B97" s="84">
        <v>34</v>
      </c>
    </row>
    <row r="98" spans="1:2" x14ac:dyDescent="0.35">
      <c r="A98" s="82" t="s">
        <v>197</v>
      </c>
      <c r="B98" s="84">
        <v>0</v>
      </c>
    </row>
    <row r="99" spans="1:2" x14ac:dyDescent="0.35">
      <c r="A99" s="82" t="s">
        <v>198</v>
      </c>
      <c r="B99" s="84">
        <v>0</v>
      </c>
    </row>
    <row r="100" spans="1:2" x14ac:dyDescent="0.35">
      <c r="A100" s="82" t="s">
        <v>389</v>
      </c>
      <c r="B100" s="84">
        <v>0</v>
      </c>
    </row>
    <row r="101" spans="1:2" x14ac:dyDescent="0.35">
      <c r="A101" s="82" t="s">
        <v>390</v>
      </c>
      <c r="B101" s="84">
        <v>0</v>
      </c>
    </row>
    <row r="102" spans="1:2" x14ac:dyDescent="0.35">
      <c r="A102" s="136" t="s">
        <v>391</v>
      </c>
      <c r="B102" s="84">
        <v>12133</v>
      </c>
    </row>
    <row r="103" spans="1:2" x14ac:dyDescent="0.35">
      <c r="A103" s="136" t="s">
        <v>392</v>
      </c>
      <c r="B103" s="84">
        <v>12133</v>
      </c>
    </row>
    <row r="104" spans="1:2" x14ac:dyDescent="0.35">
      <c r="A104" s="82" t="s">
        <v>393</v>
      </c>
      <c r="B104" s="84">
        <v>0</v>
      </c>
    </row>
    <row r="105" spans="1:2" x14ac:dyDescent="0.35">
      <c r="A105" s="82" t="s">
        <v>394</v>
      </c>
      <c r="B105" s="84">
        <v>0</v>
      </c>
    </row>
    <row r="106" spans="1:2" x14ac:dyDescent="0.35">
      <c r="A106" s="82"/>
      <c r="B106" s="84"/>
    </row>
    <row r="107" spans="1:2" x14ac:dyDescent="0.35">
      <c r="A107" s="82"/>
      <c r="B107" s="84"/>
    </row>
    <row r="108" spans="1:2" x14ac:dyDescent="0.35">
      <c r="A108" s="82"/>
      <c r="B108" s="84"/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30"/>
  <dimension ref="A6:D58"/>
  <sheetViews>
    <sheetView workbookViewId="0">
      <selection activeCell="C13" sqref="C13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20204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102</v>
      </c>
      <c r="C10" s="84"/>
      <c r="D10" s="84"/>
    </row>
    <row r="11" spans="1:4" x14ac:dyDescent="0.35">
      <c r="A11" s="82" t="s">
        <v>219</v>
      </c>
      <c r="B11" s="92" t="s">
        <v>387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2">
        <v>0</v>
      </c>
      <c r="C18" s="84"/>
      <c r="D18" s="84"/>
    </row>
    <row r="19" spans="1:4" x14ac:dyDescent="0.35">
      <c r="A19" s="82" t="s">
        <v>577</v>
      </c>
      <c r="B19" s="92">
        <v>0</v>
      </c>
      <c r="C19" s="84"/>
      <c r="D19" s="84"/>
    </row>
    <row r="20" spans="1:4" x14ac:dyDescent="0.35">
      <c r="A20" s="82" t="s">
        <v>578</v>
      </c>
      <c r="B20" s="92">
        <v>0</v>
      </c>
      <c r="C20" s="84"/>
      <c r="D20" s="84"/>
    </row>
    <row r="21" spans="1:4" x14ac:dyDescent="0.35">
      <c r="A21" s="82" t="s">
        <v>579</v>
      </c>
      <c r="B21" s="92">
        <v>0</v>
      </c>
      <c r="C21" s="84"/>
      <c r="D21" s="84"/>
    </row>
    <row r="22" spans="1:4" x14ac:dyDescent="0.35">
      <c r="A22" s="82" t="s">
        <v>580</v>
      </c>
      <c r="B22" s="92">
        <v>0</v>
      </c>
      <c r="C22" s="84"/>
      <c r="D22" s="84"/>
    </row>
    <row r="23" spans="1:4" x14ac:dyDescent="0.35">
      <c r="A23" s="82" t="s">
        <v>581</v>
      </c>
      <c r="B23" s="92">
        <v>0</v>
      </c>
      <c r="C23" s="84"/>
      <c r="D23" s="84"/>
    </row>
    <row r="24" spans="1:4" x14ac:dyDescent="0.35">
      <c r="A24" s="82" t="s">
        <v>582</v>
      </c>
      <c r="B24" s="92">
        <v>0</v>
      </c>
    </row>
    <row r="25" spans="1:4" x14ac:dyDescent="0.35">
      <c r="A25" s="82" t="s">
        <v>583</v>
      </c>
      <c r="B25" s="92">
        <v>0</v>
      </c>
    </row>
    <row r="26" spans="1:4" x14ac:dyDescent="0.35">
      <c r="A26" s="82" t="s">
        <v>584</v>
      </c>
      <c r="B26" s="92">
        <v>0</v>
      </c>
    </row>
    <row r="27" spans="1:4" x14ac:dyDescent="0.35">
      <c r="A27" s="82" t="s">
        <v>585</v>
      </c>
      <c r="B27" s="92">
        <v>0</v>
      </c>
    </row>
    <row r="28" spans="1:4" x14ac:dyDescent="0.35">
      <c r="A28" s="82" t="s">
        <v>586</v>
      </c>
      <c r="B28" s="92">
        <v>0</v>
      </c>
    </row>
    <row r="29" spans="1:4" x14ac:dyDescent="0.35">
      <c r="A29" s="82" t="s">
        <v>587</v>
      </c>
      <c r="B29" s="92">
        <v>0</v>
      </c>
    </row>
    <row r="30" spans="1:4" x14ac:dyDescent="0.35">
      <c r="A30" s="82" t="s">
        <v>588</v>
      </c>
      <c r="B30" s="90">
        <v>26240</v>
      </c>
    </row>
    <row r="31" spans="1:4" x14ac:dyDescent="0.35">
      <c r="A31" s="82"/>
      <c r="B31" s="84"/>
    </row>
    <row r="32" spans="1:4" x14ac:dyDescent="0.35">
      <c r="B32" s="84"/>
    </row>
    <row r="33" spans="1:2" x14ac:dyDescent="0.35">
      <c r="B33" s="84"/>
    </row>
    <row r="34" spans="1:2" x14ac:dyDescent="0.35">
      <c r="A34" s="82"/>
      <c r="B34" s="84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  <row r="58" spans="1:1" x14ac:dyDescent="0.35">
      <c r="A58" s="82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161"/>
  <dimension ref="A3:K20"/>
  <sheetViews>
    <sheetView topLeftCell="E1" workbookViewId="0">
      <selection activeCell="J9" sqref="J9:K20"/>
    </sheetView>
  </sheetViews>
  <sheetFormatPr baseColWidth="10" defaultRowHeight="14.5" x14ac:dyDescent="0.35"/>
  <cols>
    <col min="6" max="6" width="12.26953125" customWidth="1"/>
    <col min="8" max="8" width="11.1796875" customWidth="1"/>
    <col min="10" max="10" width="18.1796875" customWidth="1"/>
    <col min="11" max="11" width="24.7265625" customWidth="1"/>
  </cols>
  <sheetData>
    <row r="3" spans="1:11" ht="15" thickBot="1" x14ac:dyDescent="0.4"/>
    <row r="4" spans="1:11" x14ac:dyDescent="0.35">
      <c r="A4" s="149" t="s">
        <v>807</v>
      </c>
      <c r="B4" s="150"/>
      <c r="C4" s="150"/>
      <c r="D4" s="153">
        <v>3.6073734000000002</v>
      </c>
      <c r="E4" s="153"/>
      <c r="F4" s="154"/>
    </row>
    <row r="5" spans="1:11" ht="15" thickBot="1" x14ac:dyDescent="0.4">
      <c r="A5" s="151"/>
      <c r="B5" s="152"/>
      <c r="C5" s="152"/>
      <c r="D5" s="155"/>
      <c r="E5" s="155"/>
      <c r="F5" s="156"/>
    </row>
    <row r="7" spans="1:11" ht="15.5" x14ac:dyDescent="0.35">
      <c r="F7" s="148" t="s">
        <v>808</v>
      </c>
      <c r="G7" s="148"/>
      <c r="H7" s="148" t="s">
        <v>809</v>
      </c>
      <c r="I7" s="148"/>
      <c r="J7" s="132"/>
      <c r="K7" s="132"/>
    </row>
    <row r="8" spans="1:11" ht="15.5" x14ac:dyDescent="0.35">
      <c r="F8" s="80" t="s">
        <v>810</v>
      </c>
      <c r="G8" s="80" t="s">
        <v>811</v>
      </c>
      <c r="H8" s="80" t="s">
        <v>810</v>
      </c>
      <c r="I8" s="80" t="s">
        <v>811</v>
      </c>
      <c r="J8" s="132" t="s">
        <v>812</v>
      </c>
      <c r="K8" s="132" t="s">
        <v>813</v>
      </c>
    </row>
    <row r="9" spans="1:11" x14ac:dyDescent="0.35">
      <c r="A9" s="147" t="s">
        <v>515</v>
      </c>
      <c r="B9" s="147"/>
      <c r="C9" s="147"/>
      <c r="D9" s="147"/>
      <c r="E9" s="147"/>
      <c r="F9" s="101">
        <v>371</v>
      </c>
      <c r="G9" s="101">
        <v>5</v>
      </c>
      <c r="H9" s="101">
        <v>98419</v>
      </c>
      <c r="I9" s="101">
        <v>394</v>
      </c>
      <c r="J9" s="157">
        <f>F9+G9</f>
        <v>376</v>
      </c>
      <c r="K9" s="157">
        <f>H9+I9</f>
        <v>98813</v>
      </c>
    </row>
    <row r="10" spans="1:11" x14ac:dyDescent="0.35">
      <c r="A10" s="147" t="s">
        <v>516</v>
      </c>
      <c r="B10" s="147"/>
      <c r="C10" s="147"/>
      <c r="D10" s="147"/>
      <c r="E10" s="147"/>
      <c r="F10" s="101">
        <v>76820</v>
      </c>
      <c r="G10" s="101">
        <v>1120</v>
      </c>
      <c r="H10" s="101">
        <v>18254305</v>
      </c>
      <c r="I10" s="101">
        <v>65860</v>
      </c>
      <c r="J10" s="157">
        <f>F10+(G10*$D$4)</f>
        <v>80860.258207999999</v>
      </c>
      <c r="K10" s="157">
        <f>H10+(I10*$D$4)</f>
        <v>18491886.612124</v>
      </c>
    </row>
    <row r="11" spans="1:11" x14ac:dyDescent="0.35">
      <c r="A11" s="147" t="s">
        <v>517</v>
      </c>
      <c r="B11" s="147"/>
      <c r="C11" s="147"/>
      <c r="D11" s="147"/>
      <c r="E11" s="147"/>
      <c r="F11" s="101">
        <v>417</v>
      </c>
      <c r="G11" s="101">
        <v>4</v>
      </c>
      <c r="H11" s="101">
        <v>92498</v>
      </c>
      <c r="I11" s="101">
        <v>443</v>
      </c>
      <c r="J11" s="157">
        <f>F11+G11</f>
        <v>421</v>
      </c>
      <c r="K11" s="157">
        <f>H11+(I11)</f>
        <v>92941</v>
      </c>
    </row>
    <row r="12" spans="1:11" x14ac:dyDescent="0.35">
      <c r="A12" s="147" t="s">
        <v>518</v>
      </c>
      <c r="B12" s="147"/>
      <c r="C12" s="147"/>
      <c r="D12" s="147"/>
      <c r="E12" s="147"/>
      <c r="F12" s="101">
        <v>85900</v>
      </c>
      <c r="G12" s="101">
        <v>920</v>
      </c>
      <c r="H12" s="101">
        <v>16791835</v>
      </c>
      <c r="I12" s="101">
        <v>70320</v>
      </c>
      <c r="J12" s="157">
        <f t="shared" ref="J12:J20" si="0">F12+(G12*$D$4)</f>
        <v>89218.783528</v>
      </c>
      <c r="K12" s="157">
        <f t="shared" ref="K12:K20" si="1">H12+(I12*$D$4)</f>
        <v>17045505.497487999</v>
      </c>
    </row>
    <row r="13" spans="1:11" x14ac:dyDescent="0.35">
      <c r="A13" s="147" t="s">
        <v>519</v>
      </c>
      <c r="B13" s="147"/>
      <c r="C13" s="147"/>
      <c r="D13" s="147"/>
      <c r="E13" s="147"/>
      <c r="F13" s="101">
        <v>327</v>
      </c>
      <c r="G13" s="101">
        <v>4</v>
      </c>
      <c r="H13" s="101">
        <v>113912</v>
      </c>
      <c r="I13" s="101">
        <v>463</v>
      </c>
      <c r="J13" s="157">
        <f>F13+(G13)</f>
        <v>331</v>
      </c>
      <c r="K13" s="157">
        <f>H13+(I13)</f>
        <v>114375</v>
      </c>
    </row>
    <row r="14" spans="1:11" x14ac:dyDescent="0.35">
      <c r="A14" s="147" t="s">
        <v>520</v>
      </c>
      <c r="B14" s="147"/>
      <c r="C14" s="147"/>
      <c r="D14" s="147"/>
      <c r="E14" s="147"/>
      <c r="F14" s="101">
        <v>72780</v>
      </c>
      <c r="G14" s="101">
        <v>680</v>
      </c>
      <c r="H14" s="101">
        <v>22855095</v>
      </c>
      <c r="I14" s="101">
        <v>81300</v>
      </c>
      <c r="J14" s="157">
        <f t="shared" si="0"/>
        <v>75233.013911999995</v>
      </c>
      <c r="K14" s="157">
        <f t="shared" si="1"/>
        <v>23148374.457419999</v>
      </c>
    </row>
    <row r="15" spans="1:11" x14ac:dyDescent="0.35">
      <c r="A15" s="147" t="s">
        <v>539</v>
      </c>
      <c r="B15" s="147"/>
      <c r="C15" s="147"/>
      <c r="D15" s="147"/>
      <c r="E15" s="147"/>
      <c r="F15" s="101">
        <v>26833</v>
      </c>
      <c r="G15" s="101">
        <v>1700</v>
      </c>
      <c r="H15" s="101">
        <v>2361</v>
      </c>
      <c r="I15" s="101">
        <v>5831</v>
      </c>
      <c r="J15" s="157">
        <f>F15+(G15)</f>
        <v>28533</v>
      </c>
      <c r="K15" s="157">
        <f>H15+(I15)</f>
        <v>8192</v>
      </c>
    </row>
    <row r="16" spans="1:11" x14ac:dyDescent="0.35">
      <c r="A16" s="147" t="s">
        <v>540</v>
      </c>
      <c r="B16" s="147"/>
      <c r="C16" s="147"/>
      <c r="D16" s="147"/>
      <c r="E16" s="147"/>
      <c r="F16" s="101">
        <v>4088695</v>
      </c>
      <c r="G16" s="101">
        <v>465520</v>
      </c>
      <c r="H16" s="101">
        <v>949270</v>
      </c>
      <c r="I16" s="101">
        <v>1658147</v>
      </c>
      <c r="J16" s="157">
        <f t="shared" si="0"/>
        <v>5767999.4651680002</v>
      </c>
      <c r="K16" s="157">
        <f t="shared" si="1"/>
        <v>6930825.3810898</v>
      </c>
    </row>
    <row r="17" spans="1:11" x14ac:dyDescent="0.35">
      <c r="A17" s="147" t="s">
        <v>541</v>
      </c>
      <c r="B17" s="147"/>
      <c r="C17" s="147"/>
      <c r="D17" s="147"/>
      <c r="E17" s="147"/>
      <c r="F17" s="101">
        <v>22710</v>
      </c>
      <c r="G17" s="101">
        <v>1758</v>
      </c>
      <c r="H17" s="101">
        <v>2623</v>
      </c>
      <c r="I17" s="101">
        <v>5867</v>
      </c>
      <c r="J17" s="157">
        <f>F17+(G17)</f>
        <v>24468</v>
      </c>
      <c r="K17" s="157">
        <f>H17+(I17)</f>
        <v>8490</v>
      </c>
    </row>
    <row r="18" spans="1:11" x14ac:dyDescent="0.35">
      <c r="A18" s="147" t="s">
        <v>542</v>
      </c>
      <c r="B18" s="147"/>
      <c r="C18" s="147"/>
      <c r="D18" s="147"/>
      <c r="E18" s="147"/>
      <c r="F18" s="101">
        <v>3497668</v>
      </c>
      <c r="G18" s="101">
        <v>481688</v>
      </c>
      <c r="H18" s="101">
        <v>1081431</v>
      </c>
      <c r="I18" s="101">
        <v>1674048</v>
      </c>
      <c r="J18" s="157">
        <f t="shared" si="0"/>
        <v>5235296.4782992005</v>
      </c>
      <c r="K18" s="157">
        <f t="shared" si="1"/>
        <v>7120347.2255231999</v>
      </c>
    </row>
    <row r="19" spans="1:11" x14ac:dyDescent="0.35">
      <c r="A19" s="147" t="s">
        <v>543</v>
      </c>
      <c r="B19" s="147"/>
      <c r="C19" s="147"/>
      <c r="D19" s="147"/>
      <c r="E19" s="147"/>
      <c r="F19" s="101">
        <v>28676</v>
      </c>
      <c r="G19" s="101">
        <v>2136</v>
      </c>
      <c r="H19" s="101">
        <v>3791</v>
      </c>
      <c r="I19" s="101">
        <v>6962</v>
      </c>
      <c r="J19" s="157">
        <f>F19+(G19)</f>
        <v>30812</v>
      </c>
      <c r="K19" s="157">
        <f>H19+(I19)</f>
        <v>10753</v>
      </c>
    </row>
    <row r="20" spans="1:11" x14ac:dyDescent="0.35">
      <c r="A20" s="147" t="s">
        <v>544</v>
      </c>
      <c r="B20" s="147"/>
      <c r="C20" s="147"/>
      <c r="D20" s="147"/>
      <c r="E20" s="147"/>
      <c r="F20" s="101">
        <v>4933937</v>
      </c>
      <c r="G20" s="101">
        <v>592120</v>
      </c>
      <c r="H20" s="101">
        <v>1588263</v>
      </c>
      <c r="I20" s="101">
        <v>1967226</v>
      </c>
      <c r="J20" s="157">
        <f t="shared" si="0"/>
        <v>7069934.9376079999</v>
      </c>
      <c r="K20" s="157">
        <f t="shared" si="1"/>
        <v>8684781.7441884</v>
      </c>
    </row>
  </sheetData>
  <mergeCells count="16">
    <mergeCell ref="A19:E19"/>
    <mergeCell ref="A20:E20"/>
    <mergeCell ref="H7:I7"/>
    <mergeCell ref="F7:G7"/>
    <mergeCell ref="A4:C5"/>
    <mergeCell ref="D4:F5"/>
    <mergeCell ref="A14:E14"/>
    <mergeCell ref="A15:E15"/>
    <mergeCell ref="A16:E16"/>
    <mergeCell ref="A17:E17"/>
    <mergeCell ref="A18:E18"/>
    <mergeCell ref="A9:E9"/>
    <mergeCell ref="A10:E10"/>
    <mergeCell ref="A11:E11"/>
    <mergeCell ref="A12:E12"/>
    <mergeCell ref="A13:E13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43</vt:i4>
      </vt:variant>
    </vt:vector>
  </HeadingPairs>
  <TitlesOfParts>
    <vt:vector size="43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VISA_CCLS-CH</vt:lpstr>
      <vt:lpstr>VISA_GOLD</vt:lpstr>
      <vt:lpstr>VISA_GOLD-TxT</vt:lpstr>
      <vt:lpstr>VISA_GOLD-CH</vt:lpstr>
      <vt:lpstr>VISA_CBSN</vt:lpstr>
      <vt:lpstr>VISA_CBSN-TxT</vt:lpstr>
      <vt:lpstr>VISA_CBSN-CH</vt:lpstr>
      <vt:lpstr>VISA_CORP</vt:lpstr>
      <vt:lpstr>VISA_CORP-TxT</vt:lpstr>
      <vt:lpstr>VISA_CORP-CH</vt:lpstr>
      <vt:lpstr>VISA_PLAT</vt:lpstr>
      <vt:lpstr>VISA_PLAT-TxT</vt:lpstr>
      <vt:lpstr>VISA_PLAT-CH</vt:lpstr>
      <vt:lpstr>VISA_SIG</vt:lpstr>
      <vt:lpstr>VISA_SIG-TxT</vt:lpstr>
      <vt:lpstr>VISA_SIG-CH</vt:lpstr>
      <vt:lpstr>VISA_CTA</vt:lpstr>
      <vt:lpstr>VISA_CTA-TxT</vt:lpstr>
      <vt:lpstr>VISA_CTA-CH</vt:lpstr>
      <vt:lpstr>VISA_INF</vt:lpstr>
      <vt:lpstr>VISA_INF-TxT</vt:lpstr>
      <vt:lpstr>VISA_INF-CH</vt:lpstr>
      <vt:lpstr>VISA_DBSN</vt:lpstr>
      <vt:lpstr>VISA_DBSN-TxT</vt:lpstr>
      <vt:lpstr>VISA_DBSN-CH</vt:lpstr>
      <vt:lpstr>VISA_UCLSD</vt:lpstr>
      <vt:lpstr>VISA_UCLSD-TxT</vt:lpstr>
      <vt:lpstr>VISA_UCLSD-CH</vt:lpstr>
      <vt:lpstr>VISA_GIFT</vt:lpstr>
      <vt:lpstr>VISA_GIFT-TxT</vt:lpstr>
      <vt:lpstr>VISA_GIFT-CH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User</cp:lastModifiedBy>
  <dcterms:created xsi:type="dcterms:W3CDTF">2020-05-05T23:38:39Z</dcterms:created>
  <dcterms:modified xsi:type="dcterms:W3CDTF">2021-02-22T22:58:48Z</dcterms:modified>
</cp:coreProperties>
</file>